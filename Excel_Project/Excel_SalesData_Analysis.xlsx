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V:\"/>
    </mc:Choice>
  </mc:AlternateContent>
  <xr:revisionPtr revIDLastSave="0" documentId="8_{E61C5356-26F6-4497-9405-965045901503}" xr6:coauthVersionLast="47" xr6:coauthVersionMax="47" xr10:uidLastSave="{00000000-0000-0000-0000-000000000000}"/>
  <bookViews>
    <workbookView xWindow="-110" yWindow="-110" windowWidth="19420" windowHeight="11500" activeTab="1" xr2:uid="{00000000-000D-0000-FFFF-FFFF00000000}"/>
  </bookViews>
  <sheets>
    <sheet name="Sheet2" sheetId="2" r:id="rId1"/>
    <sheet name="Sheet1" sheetId="1" r:id="rId2"/>
  </sheets>
  <definedNames>
    <definedName name="Slicer_Designation">#N/A</definedName>
    <definedName name="Slicer_Product">#N/A</definedName>
    <definedName name="Slicer_Rating">#N/A</definedName>
    <definedName name="Slicer_Region">#N/A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7" i="2" l="1"/>
  <c r="T68" i="2"/>
  <c r="T69" i="2"/>
  <c r="T70" i="2"/>
  <c r="T71" i="2"/>
  <c r="K7" i="1"/>
  <c r="K8" i="1"/>
  <c r="K9" i="1"/>
  <c r="K10" i="1"/>
  <c r="K11" i="1"/>
  <c r="K12" i="1"/>
  <c r="K13" i="1"/>
  <c r="K14" i="1"/>
  <c r="K15" i="1"/>
  <c r="K16" i="1"/>
  <c r="K17" i="1"/>
  <c r="K18" i="1"/>
  <c r="K19" i="1"/>
  <c r="K20" i="1"/>
  <c r="K21" i="1"/>
  <c r="K22" i="1"/>
  <c r="K23" i="1"/>
  <c r="K24" i="1"/>
  <c r="K25" i="1"/>
  <c r="K26" i="1"/>
  <c r="K27" i="1"/>
  <c r="K28" i="1"/>
  <c r="K29" i="1"/>
  <c r="K30" i="1"/>
  <c r="K31" i="1"/>
  <c r="K32" i="1"/>
  <c r="K6" i="1"/>
  <c r="K5" i="1"/>
</calcChain>
</file>

<file path=xl/sharedStrings.xml><?xml version="1.0" encoding="utf-8"?>
<sst xmlns="http://schemas.openxmlformats.org/spreadsheetml/2006/main" count="433" uniqueCount="153">
  <si>
    <t>Dataset</t>
  </si>
  <si>
    <t>Date</t>
  </si>
  <si>
    <t>ID</t>
  </si>
  <si>
    <t>Name</t>
  </si>
  <si>
    <t>Region</t>
  </si>
  <si>
    <t>Rating</t>
  </si>
  <si>
    <t>Product</t>
  </si>
  <si>
    <t>Quantity</t>
  </si>
  <si>
    <t>Price Per Unit</t>
  </si>
  <si>
    <t>North</t>
  </si>
  <si>
    <t>Good</t>
  </si>
  <si>
    <t>East</t>
  </si>
  <si>
    <t>Excelent</t>
  </si>
  <si>
    <t>West</t>
  </si>
  <si>
    <t>Poor</t>
  </si>
  <si>
    <t>South</t>
  </si>
  <si>
    <t>Average</t>
  </si>
  <si>
    <t>Asgard</t>
  </si>
  <si>
    <t>Mischief</t>
  </si>
  <si>
    <t>Worthy</t>
  </si>
  <si>
    <t>Spy</t>
  </si>
  <si>
    <t>Leader</t>
  </si>
  <si>
    <t>Which region generated the highest total sales revenue?</t>
  </si>
  <si>
    <t>Which product sold the highest quantity?</t>
  </si>
  <si>
    <t>Which region has the most “Excellent”, “Good”, “Poor”, etc. ratings?</t>
  </si>
  <si>
    <t>Which customer generated the highest revenue?</t>
  </si>
  <si>
    <t>How does sales change over time?</t>
  </si>
  <si>
    <r>
      <t xml:space="preserve"> </t>
    </r>
    <r>
      <rPr>
        <b/>
        <sz val="11"/>
        <color theme="1"/>
        <rFont val="Calibri"/>
        <family val="2"/>
        <scheme val="minor"/>
      </rPr>
      <t>Clean the data first</t>
    </r>
  </si>
  <si>
    <t>Create the pivot tables for the following</t>
  </si>
  <si>
    <t>Create the interactive dashboard for the same</t>
  </si>
  <si>
    <t>Designation</t>
  </si>
  <si>
    <t>M</t>
  </si>
  <si>
    <t>Virat</t>
  </si>
  <si>
    <t>Rohit</t>
  </si>
  <si>
    <t>F</t>
  </si>
  <si>
    <t>Anushka</t>
  </si>
  <si>
    <t>Hardik</t>
  </si>
  <si>
    <t>Sakshi</t>
  </si>
  <si>
    <t>Gender</t>
  </si>
  <si>
    <t xml:space="preserve">Roll No </t>
  </si>
  <si>
    <t xml:space="preserve"> Name</t>
  </si>
  <si>
    <t>Maths</t>
  </si>
  <si>
    <t>Physics</t>
  </si>
  <si>
    <t>Chemistry</t>
  </si>
  <si>
    <t>Social</t>
  </si>
  <si>
    <t>CS</t>
  </si>
  <si>
    <t>English</t>
  </si>
  <si>
    <t>Hindi</t>
  </si>
  <si>
    <t>Find the total and highhlight the marks greater than 550 in total, also highlight the duplicate values in physics</t>
  </si>
  <si>
    <t>John Smith</t>
  </si>
  <si>
    <t>Jane Doe</t>
  </si>
  <si>
    <t>Mike Tyson</t>
  </si>
  <si>
    <t>Anna Belle</t>
  </si>
  <si>
    <t>Chris P. Bacon</t>
  </si>
  <si>
    <t>Peter Parker</t>
  </si>
  <si>
    <t>Mary Jane</t>
  </si>
  <si>
    <t>Bruce Wayne</t>
  </si>
  <si>
    <t>Clark Kent</t>
  </si>
  <si>
    <t>Diana Prince</t>
  </si>
  <si>
    <t>Tony Stark</t>
  </si>
  <si>
    <t>Steve Rogers</t>
  </si>
  <si>
    <t>Natasha Romanoff</t>
  </si>
  <si>
    <t>Bruce Banner</t>
  </si>
  <si>
    <t>Nick Fury</t>
  </si>
  <si>
    <t>Phil Coulson</t>
  </si>
  <si>
    <t>Peggy Carter</t>
  </si>
  <si>
    <t>Howard Stark</t>
  </si>
  <si>
    <t>Hank Pym</t>
  </si>
  <si>
    <t>Janet Van Dyne</t>
  </si>
  <si>
    <t>Kurt Busiek</t>
  </si>
  <si>
    <t>George Perez</t>
  </si>
  <si>
    <t>Roger Stern</t>
  </si>
  <si>
    <t>Tom Defalco</t>
  </si>
  <si>
    <t>Loki Laufyeson</t>
  </si>
  <si>
    <t>Thor Odinson</t>
  </si>
  <si>
    <t>Unknown</t>
  </si>
  <si>
    <t>Notepads</t>
  </si>
  <si>
    <t>Mjolnir</t>
  </si>
  <si>
    <t>Magic Wand</t>
  </si>
  <si>
    <t>Unicorn Horn</t>
  </si>
  <si>
    <t>Boxing Gloves</t>
  </si>
  <si>
    <t>Fairy Dust</t>
  </si>
  <si>
    <t>Bacon Scented Candle</t>
  </si>
  <si>
    <t>Web Shooter</t>
  </si>
  <si>
    <t>Potent Potion</t>
  </si>
  <si>
    <t>Bat Signal</t>
  </si>
  <si>
    <t>Glasses With X-Ray Vision</t>
  </si>
  <si>
    <t>Lasso Of Truth</t>
  </si>
  <si>
    <t>Iron Man Suit</t>
  </si>
  <si>
    <t>Captain America Shield</t>
  </si>
  <si>
    <t>Black Widow'S Bite</t>
  </si>
  <si>
    <t>Gamma Radiation Serum</t>
  </si>
  <si>
    <t>Eye Patch</t>
  </si>
  <si>
    <t>Agent Id Card</t>
  </si>
  <si>
    <t>Vintage Pistol</t>
  </si>
  <si>
    <t>Arc Reactor</t>
  </si>
  <si>
    <t>Ant-Man Suit</t>
  </si>
  <si>
    <t>Wasp'S Wings</t>
  </si>
  <si>
    <t>Comic Book</t>
  </si>
  <si>
    <t>Drawing Pad</t>
  </si>
  <si>
    <t>Pen Set</t>
  </si>
  <si>
    <t>Trickster'S Hat</t>
  </si>
  <si>
    <t>Spy Kit</t>
  </si>
  <si>
    <t>Leadership Manual</t>
  </si>
  <si>
    <t>Location</t>
  </si>
  <si>
    <t xml:space="preserve">Manager    </t>
  </si>
  <si>
    <t xml:space="preserve"> Bangalore, Karnataka</t>
  </si>
  <si>
    <t xml:space="preserve">Analyst  </t>
  </si>
  <si>
    <t xml:space="preserve"> Mumbai, Maharashtra</t>
  </si>
  <si>
    <t xml:space="preserve">Trainer     </t>
  </si>
  <si>
    <t xml:space="preserve"> Chennai, Tamil Nadu</t>
  </si>
  <si>
    <t xml:space="preserve">Consultant </t>
  </si>
  <si>
    <t xml:space="preserve"> Delhi, Delhi</t>
  </si>
  <si>
    <t xml:space="preserve">Developer    </t>
  </si>
  <si>
    <t xml:space="preserve"> Hyderabad, Telangana</t>
  </si>
  <si>
    <t xml:space="preserve">Photographer </t>
  </si>
  <si>
    <t xml:space="preserve"> New York, USA</t>
  </si>
  <si>
    <t xml:space="preserve">CEO      </t>
  </si>
  <si>
    <t xml:space="preserve"> Gotham, New Jersey</t>
  </si>
  <si>
    <t xml:space="preserve">Reporter   </t>
  </si>
  <si>
    <t xml:space="preserve"> Metropolis, Illinois</t>
  </si>
  <si>
    <t xml:space="preserve">Engineer    </t>
  </si>
  <si>
    <t xml:space="preserve"> Malibu, California</t>
  </si>
  <si>
    <t xml:space="preserve">Leader </t>
  </si>
  <si>
    <t xml:space="preserve"> Brooklyn, New York</t>
  </si>
  <si>
    <t xml:space="preserve">Spy      </t>
  </si>
  <si>
    <t xml:space="preserve"> Moscow, Russia</t>
  </si>
  <si>
    <t xml:space="preserve">Scientist   </t>
  </si>
  <si>
    <t xml:space="preserve"> Dayton, Ohio</t>
  </si>
  <si>
    <t xml:space="preserve">Director    </t>
  </si>
  <si>
    <t xml:space="preserve"> Los Angeles, California</t>
  </si>
  <si>
    <t xml:space="preserve">Agent   </t>
  </si>
  <si>
    <t xml:space="preserve"> Washington, DC</t>
  </si>
  <si>
    <t>Total</t>
  </si>
  <si>
    <t>Sales Revenue</t>
  </si>
  <si>
    <t>Row Labels</t>
  </si>
  <si>
    <t>Grand Total</t>
  </si>
  <si>
    <t>Sum of Sales Revenue</t>
  </si>
  <si>
    <t>Sum of Quantity</t>
  </si>
  <si>
    <t>Count of Rating</t>
  </si>
  <si>
    <t>Column Labels</t>
  </si>
  <si>
    <t>2021</t>
  </si>
  <si>
    <t>2022</t>
  </si>
  <si>
    <t>2023</t>
  </si>
  <si>
    <t>Total Sales Revenue by Region</t>
  </si>
  <si>
    <t>Sales Revenue Trend Over Time</t>
  </si>
  <si>
    <t>Total Quantity Sold by Product</t>
  </si>
  <si>
    <t>Total Revenue by Customer</t>
  </si>
  <si>
    <t>Rating Distribution by Region</t>
  </si>
  <si>
    <t>SalesData Analysis</t>
  </si>
  <si>
    <t>Pivot Tables</t>
  </si>
  <si>
    <t>Dashboard</t>
  </si>
  <si>
    <r>
      <rPr>
        <sz val="13"/>
        <color theme="1"/>
        <rFont val="Calibri"/>
        <family val="2"/>
        <scheme val="minor"/>
      </rPr>
      <t>Total Quantity Sold by Produc</t>
    </r>
    <r>
      <rPr>
        <sz val="11"/>
        <color theme="1"/>
        <rFont val="Calibri"/>
        <family val="2"/>
        <scheme val="minor"/>
      </rPr>
      <t>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</si>
</sst>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10" x14ac:knownFonts="1">
    <font>
      <sz val="11"/>
      <color theme="1"/>
      <name val="Calibri"/>
      <family val="2"/>
      <scheme val="minor"/>
    </font>
    <font>
      <b/>
      <sz val="11"/>
      <color theme="1"/>
      <name val="Calibri"/>
      <family val="2"/>
      <scheme val="minor"/>
    </font>
    <font>
      <sz val="28"/>
      <color theme="0"/>
      <name val="Segoe UI Light"/>
      <family val="2"/>
    </font>
    <font>
      <b/>
      <sz val="11"/>
      <color rgb="FF000000"/>
      <name val="Calibri"/>
      <family val="2"/>
      <scheme val="minor"/>
    </font>
    <font>
      <sz val="11"/>
      <color rgb="FF000000"/>
      <name val="Calibri"/>
      <family val="2"/>
      <scheme val="minor"/>
    </font>
    <font>
      <sz val="16"/>
      <color theme="1"/>
      <name val="Calibri"/>
      <family val="2"/>
      <scheme val="minor"/>
    </font>
    <font>
      <b/>
      <sz val="20"/>
      <color theme="1"/>
      <name val="Calibri"/>
      <family val="2"/>
      <scheme val="minor"/>
    </font>
    <font>
      <sz val="13"/>
      <color theme="1"/>
      <name val="Calibri"/>
      <family val="2"/>
      <scheme val="minor"/>
    </font>
    <font>
      <b/>
      <sz val="18"/>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rgb="FF0F551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2" borderId="0" xfId="0" applyFont="1" applyFill="1" applyAlignment="1">
      <alignment vertical="center"/>
    </xf>
    <xf numFmtId="0" fontId="3" fillId="0" borderId="0" xfId="0" applyFont="1" applyAlignment="1">
      <alignment horizontal="left" vertical="top"/>
    </xf>
    <xf numFmtId="0" fontId="4" fillId="0" borderId="0" xfId="0" applyFont="1"/>
    <xf numFmtId="164" fontId="4" fillId="0" borderId="0" xfId="0" applyNumberFormat="1" applyFont="1"/>
    <xf numFmtId="0" fontId="1" fillId="0" borderId="0" xfId="0" applyFont="1"/>
    <xf numFmtId="0" fontId="5" fillId="0" borderId="1" xfId="0" applyFont="1" applyBorder="1"/>
    <xf numFmtId="14" fontId="4" fillId="0" borderId="0" xfId="0" applyNumberFormat="1" applyFont="1"/>
    <xf numFmtId="0" fontId="3" fillId="0" borderId="0" xfId="0" applyFont="1" applyAlignment="1">
      <alignment vertical="top"/>
    </xf>
    <xf numFmtId="0" fontId="5" fillId="0" borderId="1" xfId="0" applyFont="1" applyFill="1" applyBorder="1"/>
    <xf numFmtId="0" fontId="0" fillId="0" borderId="1" xfId="0" applyBorder="1"/>
    <xf numFmtId="0" fontId="0" fillId="0" borderId="0" xfId="0" pivotButton="1"/>
    <xf numFmtId="0" fontId="0" fillId="0" borderId="0" xfId="0" applyAlignment="1">
      <alignment horizontal="left"/>
    </xf>
    <xf numFmtId="0" fontId="0" fillId="0" borderId="0" xfId="0" applyNumberForma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cellXfs>
  <cellStyles count="1">
    <cellStyle name="Normal" xfId="0" builtinId="0"/>
  </cellStyles>
  <dxfs count="4">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c:f>
              <c:strCache>
                <c:ptCount val="1"/>
                <c:pt idx="0">
                  <c:v>Total</c:v>
                </c:pt>
              </c:strCache>
            </c:strRef>
          </c:tx>
          <c:spPr>
            <a:solidFill>
              <a:schemeClr val="accent1"/>
            </a:solidFill>
            <a:ln>
              <a:noFill/>
            </a:ln>
            <a:effectLst/>
          </c:spPr>
          <c:invertIfNegative val="0"/>
          <c:cat>
            <c:strRef>
              <c:f>Sheet2!$B$6:$B$32</c:f>
              <c:strCache>
                <c:ptCount val="26"/>
                <c:pt idx="0">
                  <c:v>Steve Rogers</c:v>
                </c:pt>
                <c:pt idx="1">
                  <c:v>Thor Odinson</c:v>
                </c:pt>
                <c:pt idx="2">
                  <c:v>Loki Laufyeson</c:v>
                </c:pt>
                <c:pt idx="3">
                  <c:v>Tom Defalco</c:v>
                </c:pt>
                <c:pt idx="4">
                  <c:v>Roger Stern</c:v>
                </c:pt>
                <c:pt idx="5">
                  <c:v>Kurt Busiek</c:v>
                </c:pt>
                <c:pt idx="6">
                  <c:v>Janet Van Dyne</c:v>
                </c:pt>
                <c:pt idx="7">
                  <c:v>Hank Pym</c:v>
                </c:pt>
                <c:pt idx="8">
                  <c:v>Howard Stark</c:v>
                </c:pt>
                <c:pt idx="9">
                  <c:v>Peggy Carter</c:v>
                </c:pt>
                <c:pt idx="10">
                  <c:v>Nick Fury</c:v>
                </c:pt>
                <c:pt idx="11">
                  <c:v>Bruce Banner</c:v>
                </c:pt>
                <c:pt idx="12">
                  <c:v>Chris P. Bacon</c:v>
                </c:pt>
                <c:pt idx="13">
                  <c:v>Tony Stark</c:v>
                </c:pt>
                <c:pt idx="14">
                  <c:v>Diana Prince</c:v>
                </c:pt>
                <c:pt idx="15">
                  <c:v>Bruce Wayne</c:v>
                </c:pt>
                <c:pt idx="16">
                  <c:v>Clark Kent</c:v>
                </c:pt>
                <c:pt idx="17">
                  <c:v>Anna Belle</c:v>
                </c:pt>
                <c:pt idx="18">
                  <c:v>Mary Jane</c:v>
                </c:pt>
                <c:pt idx="19">
                  <c:v>John Smith</c:v>
                </c:pt>
                <c:pt idx="20">
                  <c:v>Jane Doe</c:v>
                </c:pt>
                <c:pt idx="21">
                  <c:v>Peter Parker</c:v>
                </c:pt>
                <c:pt idx="22">
                  <c:v>Phil Coulson</c:v>
                </c:pt>
                <c:pt idx="23">
                  <c:v>Natasha Romanoff</c:v>
                </c:pt>
                <c:pt idx="24">
                  <c:v>George Perez</c:v>
                </c:pt>
                <c:pt idx="25">
                  <c:v>Mike Tyson</c:v>
                </c:pt>
              </c:strCache>
            </c:strRef>
          </c:cat>
          <c:val>
            <c:numRef>
              <c:f>Sheet2!$C$6:$C$32</c:f>
              <c:numCache>
                <c:formatCode>General</c:formatCode>
                <c:ptCount val="26"/>
                <c:pt idx="0">
                  <c:v>3399.85</c:v>
                </c:pt>
                <c:pt idx="1">
                  <c:v>2300</c:v>
                </c:pt>
                <c:pt idx="2">
                  <c:v>2199.75</c:v>
                </c:pt>
                <c:pt idx="3">
                  <c:v>2100</c:v>
                </c:pt>
                <c:pt idx="4">
                  <c:v>2000.05</c:v>
                </c:pt>
                <c:pt idx="5">
                  <c:v>1800</c:v>
                </c:pt>
                <c:pt idx="6">
                  <c:v>1700.05</c:v>
                </c:pt>
                <c:pt idx="7">
                  <c:v>1600</c:v>
                </c:pt>
                <c:pt idx="8">
                  <c:v>1499.85</c:v>
                </c:pt>
                <c:pt idx="9">
                  <c:v>1400</c:v>
                </c:pt>
                <c:pt idx="10">
                  <c:v>1200.1499999999999</c:v>
                </c:pt>
                <c:pt idx="11">
                  <c:v>1100.1000000000001</c:v>
                </c:pt>
                <c:pt idx="12">
                  <c:v>1000.2</c:v>
                </c:pt>
                <c:pt idx="13">
                  <c:v>800</c:v>
                </c:pt>
                <c:pt idx="14">
                  <c:v>700</c:v>
                </c:pt>
                <c:pt idx="15">
                  <c:v>600</c:v>
                </c:pt>
                <c:pt idx="16">
                  <c:v>549.9</c:v>
                </c:pt>
                <c:pt idx="17">
                  <c:v>500</c:v>
                </c:pt>
                <c:pt idx="18">
                  <c:v>350</c:v>
                </c:pt>
                <c:pt idx="19">
                  <c:v>200</c:v>
                </c:pt>
                <c:pt idx="20">
                  <c:v>150</c:v>
                </c:pt>
                <c:pt idx="21">
                  <c:v>0</c:v>
                </c:pt>
                <c:pt idx="22">
                  <c:v>0</c:v>
                </c:pt>
                <c:pt idx="23">
                  <c:v>0</c:v>
                </c:pt>
                <c:pt idx="24">
                  <c:v>0</c:v>
                </c:pt>
                <c:pt idx="25">
                  <c:v>0</c:v>
                </c:pt>
              </c:numCache>
            </c:numRef>
          </c:val>
          <c:extLst>
            <c:ext xmlns:c16="http://schemas.microsoft.com/office/drawing/2014/chart" uri="{C3380CC4-5D6E-409C-BE32-E72D297353CC}">
              <c16:uniqueId val="{00000000-6D62-4DCE-9002-6F0C8E981EC0}"/>
            </c:ext>
          </c:extLst>
        </c:ser>
        <c:dLbls>
          <c:showLegendKey val="0"/>
          <c:showVal val="0"/>
          <c:showCatName val="0"/>
          <c:showSerName val="0"/>
          <c:showPercent val="0"/>
          <c:showBubbleSize val="0"/>
        </c:dLbls>
        <c:gapWidth val="219"/>
        <c:overlap val="-27"/>
        <c:axId val="1831217039"/>
        <c:axId val="1926356751"/>
      </c:barChart>
      <c:catAx>
        <c:axId val="183121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56751"/>
        <c:crosses val="autoZero"/>
        <c:auto val="1"/>
        <c:lblAlgn val="ctr"/>
        <c:lblOffset val="100"/>
        <c:noMultiLvlLbl val="0"/>
      </c:catAx>
      <c:valAx>
        <c:axId val="192635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1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Sheet2!$G$5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cat>
            <c:strRef>
              <c:f>Sheet2!$F$6:$F$34</c:f>
              <c:strCache>
                <c:ptCount val="28"/>
                <c:pt idx="0">
                  <c:v>Leadership Manual</c:v>
                </c:pt>
                <c:pt idx="1">
                  <c:v>Mjolnir</c:v>
                </c:pt>
                <c:pt idx="2">
                  <c:v>Trickster'S Hat</c:v>
                </c:pt>
                <c:pt idx="3">
                  <c:v>Pen Set</c:v>
                </c:pt>
                <c:pt idx="4">
                  <c:v>Notepads</c:v>
                </c:pt>
                <c:pt idx="5">
                  <c:v>Comic Book</c:v>
                </c:pt>
                <c:pt idx="6">
                  <c:v>Bacon Scented Candle</c:v>
                </c:pt>
                <c:pt idx="7">
                  <c:v>Wasp'S Wings</c:v>
                </c:pt>
                <c:pt idx="8">
                  <c:v>Lasso Of Truth</c:v>
                </c:pt>
                <c:pt idx="9">
                  <c:v>Ant-Man Suit</c:v>
                </c:pt>
                <c:pt idx="10">
                  <c:v>Fairy Dust</c:v>
                </c:pt>
                <c:pt idx="11">
                  <c:v>Arc Reactor</c:v>
                </c:pt>
                <c:pt idx="12">
                  <c:v>Glasses With X-Ray Vision</c:v>
                </c:pt>
                <c:pt idx="13">
                  <c:v>Vintage Pistol</c:v>
                </c:pt>
                <c:pt idx="14">
                  <c:v>Bat Signal</c:v>
                </c:pt>
                <c:pt idx="15">
                  <c:v>Potent Potion</c:v>
                </c:pt>
                <c:pt idx="16">
                  <c:v>Eye Patch</c:v>
                </c:pt>
                <c:pt idx="17">
                  <c:v>Gamma Radiation Serum</c:v>
                </c:pt>
                <c:pt idx="18">
                  <c:v>Captain America Shield</c:v>
                </c:pt>
                <c:pt idx="19">
                  <c:v>Unicorn Horn</c:v>
                </c:pt>
                <c:pt idx="20">
                  <c:v>Magic Wand</c:v>
                </c:pt>
                <c:pt idx="21">
                  <c:v>Iron Man Suit</c:v>
                </c:pt>
                <c:pt idx="22">
                  <c:v>Black Widow'S Bite</c:v>
                </c:pt>
                <c:pt idx="23">
                  <c:v>Drawing Pad</c:v>
                </c:pt>
                <c:pt idx="24">
                  <c:v>Agent Id Card</c:v>
                </c:pt>
                <c:pt idx="25">
                  <c:v>Web Shooter</c:v>
                </c:pt>
                <c:pt idx="26">
                  <c:v>Boxing Gloves</c:v>
                </c:pt>
                <c:pt idx="27">
                  <c:v>Spy Kit</c:v>
                </c:pt>
              </c:strCache>
            </c:strRef>
          </c:cat>
          <c:val>
            <c:numRef>
              <c:f>Sheet2!$G$6:$G$34</c:f>
              <c:numCache>
                <c:formatCode>General</c:formatCode>
                <c:ptCount val="28"/>
                <c:pt idx="0">
                  <c:v>85</c:v>
                </c:pt>
                <c:pt idx="1">
                  <c:v>80</c:v>
                </c:pt>
                <c:pt idx="2">
                  <c:v>75</c:v>
                </c:pt>
                <c:pt idx="3">
                  <c:v>70</c:v>
                </c:pt>
                <c:pt idx="4">
                  <c:v>65</c:v>
                </c:pt>
                <c:pt idx="5">
                  <c:v>60</c:v>
                </c:pt>
                <c:pt idx="6">
                  <c:v>60</c:v>
                </c:pt>
                <c:pt idx="7">
                  <c:v>55</c:v>
                </c:pt>
                <c:pt idx="8">
                  <c:v>50</c:v>
                </c:pt>
                <c:pt idx="9">
                  <c:v>50</c:v>
                </c:pt>
                <c:pt idx="10">
                  <c:v>50</c:v>
                </c:pt>
                <c:pt idx="11">
                  <c:v>45</c:v>
                </c:pt>
                <c:pt idx="12">
                  <c:v>45</c:v>
                </c:pt>
                <c:pt idx="13">
                  <c:v>40</c:v>
                </c:pt>
                <c:pt idx="14">
                  <c:v>40</c:v>
                </c:pt>
                <c:pt idx="15">
                  <c:v>35</c:v>
                </c:pt>
                <c:pt idx="16">
                  <c:v>35</c:v>
                </c:pt>
                <c:pt idx="17">
                  <c:v>30</c:v>
                </c:pt>
                <c:pt idx="18">
                  <c:v>20</c:v>
                </c:pt>
                <c:pt idx="19">
                  <c:v>15</c:v>
                </c:pt>
                <c:pt idx="20">
                  <c:v>10</c:v>
                </c:pt>
                <c:pt idx="21">
                  <c:v>5</c:v>
                </c:pt>
                <c:pt idx="22">
                  <c:v>0</c:v>
                </c:pt>
                <c:pt idx="23">
                  <c:v>0</c:v>
                </c:pt>
                <c:pt idx="24">
                  <c:v>0</c:v>
                </c:pt>
                <c:pt idx="25">
                  <c:v>0</c:v>
                </c:pt>
                <c:pt idx="26">
                  <c:v>0</c:v>
                </c:pt>
                <c:pt idx="27">
                  <c:v>0</c:v>
                </c:pt>
              </c:numCache>
            </c:numRef>
          </c:val>
          <c:extLst>
            <c:ext xmlns:c16="http://schemas.microsoft.com/office/drawing/2014/chart" uri="{C3380CC4-5D6E-409C-BE32-E72D297353CC}">
              <c16:uniqueId val="{00000000-C3C7-4896-9B1D-7DA9957685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92038495188099E-2"/>
          <c:y val="0.16101633129192183"/>
          <c:w val="0.76416426071741028"/>
          <c:h val="0.65853091280256637"/>
        </c:manualLayout>
      </c:layout>
      <c:barChart>
        <c:barDir val="col"/>
        <c:grouping val="clustered"/>
        <c:varyColors val="0"/>
        <c:ser>
          <c:idx val="0"/>
          <c:order val="0"/>
          <c:tx>
            <c:strRef>
              <c:f>Sheet2!$J$5:$J$6</c:f>
              <c:strCache>
                <c:ptCount val="1"/>
                <c:pt idx="0">
                  <c:v>Average</c:v>
                </c:pt>
              </c:strCache>
            </c:strRef>
          </c:tx>
          <c:spPr>
            <a:solidFill>
              <a:schemeClr val="accent1"/>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Sheet2!$J$7:$J$13</c:f>
              <c:numCache>
                <c:formatCode>General</c:formatCode>
                <c:ptCount val="6"/>
                <c:pt idx="1">
                  <c:v>6</c:v>
                </c:pt>
                <c:pt idx="3">
                  <c:v>1</c:v>
                </c:pt>
              </c:numCache>
            </c:numRef>
          </c:val>
          <c:extLst>
            <c:ext xmlns:c16="http://schemas.microsoft.com/office/drawing/2014/chart" uri="{C3380CC4-5D6E-409C-BE32-E72D297353CC}">
              <c16:uniqueId val="{00000000-6711-42AE-809B-634216276426}"/>
            </c:ext>
          </c:extLst>
        </c:ser>
        <c:ser>
          <c:idx val="1"/>
          <c:order val="1"/>
          <c:tx>
            <c:strRef>
              <c:f>Sheet2!$K$5:$K$6</c:f>
              <c:strCache>
                <c:ptCount val="1"/>
                <c:pt idx="0">
                  <c:v>Excelent</c:v>
                </c:pt>
              </c:strCache>
            </c:strRef>
          </c:tx>
          <c:spPr>
            <a:solidFill>
              <a:schemeClr val="accent2"/>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Sheet2!$K$7:$K$13</c:f>
              <c:numCache>
                <c:formatCode>General</c:formatCode>
                <c:ptCount val="6"/>
                <c:pt idx="0">
                  <c:v>1</c:v>
                </c:pt>
                <c:pt idx="3">
                  <c:v>3</c:v>
                </c:pt>
                <c:pt idx="4">
                  <c:v>3</c:v>
                </c:pt>
              </c:numCache>
            </c:numRef>
          </c:val>
          <c:extLst>
            <c:ext xmlns:c16="http://schemas.microsoft.com/office/drawing/2014/chart" uri="{C3380CC4-5D6E-409C-BE32-E72D297353CC}">
              <c16:uniqueId val="{00000001-6711-42AE-809B-634216276426}"/>
            </c:ext>
          </c:extLst>
        </c:ser>
        <c:ser>
          <c:idx val="2"/>
          <c:order val="2"/>
          <c:tx>
            <c:strRef>
              <c:f>Sheet2!$L$5:$L$6</c:f>
              <c:strCache>
                <c:ptCount val="1"/>
                <c:pt idx="0">
                  <c:v>Good</c:v>
                </c:pt>
              </c:strCache>
            </c:strRef>
          </c:tx>
          <c:spPr>
            <a:solidFill>
              <a:schemeClr val="accent3"/>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Sheet2!$L$7:$L$13</c:f>
              <c:numCache>
                <c:formatCode>General</c:formatCode>
                <c:ptCount val="6"/>
                <c:pt idx="0">
                  <c:v>6</c:v>
                </c:pt>
                <c:pt idx="4">
                  <c:v>1</c:v>
                </c:pt>
              </c:numCache>
            </c:numRef>
          </c:val>
          <c:extLst>
            <c:ext xmlns:c16="http://schemas.microsoft.com/office/drawing/2014/chart" uri="{C3380CC4-5D6E-409C-BE32-E72D297353CC}">
              <c16:uniqueId val="{00000002-6711-42AE-809B-634216276426}"/>
            </c:ext>
          </c:extLst>
        </c:ser>
        <c:ser>
          <c:idx val="3"/>
          <c:order val="3"/>
          <c:tx>
            <c:strRef>
              <c:f>Sheet2!$M$5:$M$6</c:f>
              <c:strCache>
                <c:ptCount val="1"/>
                <c:pt idx="0">
                  <c:v>Leader</c:v>
                </c:pt>
              </c:strCache>
            </c:strRef>
          </c:tx>
          <c:spPr>
            <a:solidFill>
              <a:schemeClr val="accent4"/>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Sheet2!$M$7:$M$13</c:f>
              <c:numCache>
                <c:formatCode>General</c:formatCode>
                <c:ptCount val="6"/>
                <c:pt idx="1">
                  <c:v>1</c:v>
                </c:pt>
              </c:numCache>
            </c:numRef>
          </c:val>
          <c:extLst>
            <c:ext xmlns:c16="http://schemas.microsoft.com/office/drawing/2014/chart" uri="{C3380CC4-5D6E-409C-BE32-E72D297353CC}">
              <c16:uniqueId val="{00000003-6711-42AE-809B-634216276426}"/>
            </c:ext>
          </c:extLst>
        </c:ser>
        <c:ser>
          <c:idx val="4"/>
          <c:order val="4"/>
          <c:tx>
            <c:strRef>
              <c:f>Sheet2!$N$5:$N$6</c:f>
              <c:strCache>
                <c:ptCount val="1"/>
                <c:pt idx="0">
                  <c:v>Mischief</c:v>
                </c:pt>
              </c:strCache>
            </c:strRef>
          </c:tx>
          <c:spPr>
            <a:solidFill>
              <a:schemeClr val="accent5"/>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Sheet2!$N$7:$N$13</c:f>
              <c:numCache>
                <c:formatCode>General</c:formatCode>
                <c:ptCount val="6"/>
                <c:pt idx="5">
                  <c:v>1</c:v>
                </c:pt>
              </c:numCache>
            </c:numRef>
          </c:val>
          <c:extLst>
            <c:ext xmlns:c16="http://schemas.microsoft.com/office/drawing/2014/chart" uri="{C3380CC4-5D6E-409C-BE32-E72D297353CC}">
              <c16:uniqueId val="{00000004-6711-42AE-809B-634216276426}"/>
            </c:ext>
          </c:extLst>
        </c:ser>
        <c:ser>
          <c:idx val="5"/>
          <c:order val="5"/>
          <c:tx>
            <c:strRef>
              <c:f>Sheet2!$O$5:$O$6</c:f>
              <c:strCache>
                <c:ptCount val="1"/>
                <c:pt idx="0">
                  <c:v>Poor</c:v>
                </c:pt>
              </c:strCache>
            </c:strRef>
          </c:tx>
          <c:spPr>
            <a:solidFill>
              <a:schemeClr val="accent6"/>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Sheet2!$O$7:$O$13</c:f>
              <c:numCache>
                <c:formatCode>General</c:formatCode>
                <c:ptCount val="6"/>
                <c:pt idx="2">
                  <c:v>6</c:v>
                </c:pt>
              </c:numCache>
            </c:numRef>
          </c:val>
          <c:extLst>
            <c:ext xmlns:c16="http://schemas.microsoft.com/office/drawing/2014/chart" uri="{C3380CC4-5D6E-409C-BE32-E72D297353CC}">
              <c16:uniqueId val="{00000005-6711-42AE-809B-634216276426}"/>
            </c:ext>
          </c:extLst>
        </c:ser>
        <c:ser>
          <c:idx val="6"/>
          <c:order val="6"/>
          <c:tx>
            <c:strRef>
              <c:f>Sheet2!$P$5:$P$6</c:f>
              <c:strCache>
                <c:ptCount val="1"/>
                <c:pt idx="0">
                  <c:v>Spy</c:v>
                </c:pt>
              </c:strCache>
            </c:strRef>
          </c:tx>
          <c:spPr>
            <a:solidFill>
              <a:schemeClr val="accent1">
                <a:lumMod val="60000"/>
              </a:schemeClr>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Sheet2!$P$7:$P$13</c:f>
              <c:numCache>
                <c:formatCode>General</c:formatCode>
                <c:ptCount val="6"/>
                <c:pt idx="0">
                  <c:v>1</c:v>
                </c:pt>
              </c:numCache>
            </c:numRef>
          </c:val>
          <c:extLst>
            <c:ext xmlns:c16="http://schemas.microsoft.com/office/drawing/2014/chart" uri="{C3380CC4-5D6E-409C-BE32-E72D297353CC}">
              <c16:uniqueId val="{00000006-6711-42AE-809B-634216276426}"/>
            </c:ext>
          </c:extLst>
        </c:ser>
        <c:ser>
          <c:idx val="7"/>
          <c:order val="7"/>
          <c:tx>
            <c:strRef>
              <c:f>Sheet2!$Q$5:$Q$6</c:f>
              <c:strCache>
                <c:ptCount val="1"/>
                <c:pt idx="0">
                  <c:v>Worthy</c:v>
                </c:pt>
              </c:strCache>
            </c:strRef>
          </c:tx>
          <c:spPr>
            <a:solidFill>
              <a:schemeClr val="accent2">
                <a:lumMod val="60000"/>
              </a:schemeClr>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Sheet2!$Q$7:$Q$13</c:f>
              <c:numCache>
                <c:formatCode>General</c:formatCode>
                <c:ptCount val="6"/>
                <c:pt idx="5">
                  <c:v>1</c:v>
                </c:pt>
              </c:numCache>
            </c:numRef>
          </c:val>
          <c:extLst>
            <c:ext xmlns:c16="http://schemas.microsoft.com/office/drawing/2014/chart" uri="{C3380CC4-5D6E-409C-BE32-E72D297353CC}">
              <c16:uniqueId val="{00000007-6711-42AE-809B-634216276426}"/>
            </c:ext>
          </c:extLst>
        </c:ser>
        <c:dLbls>
          <c:showLegendKey val="0"/>
          <c:showVal val="0"/>
          <c:showCatName val="0"/>
          <c:showSerName val="0"/>
          <c:showPercent val="0"/>
          <c:showBubbleSize val="0"/>
        </c:dLbls>
        <c:gapWidth val="219"/>
        <c:overlap val="-27"/>
        <c:axId val="70473247"/>
        <c:axId val="1926264111"/>
      </c:barChart>
      <c:catAx>
        <c:axId val="704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64111"/>
        <c:crosses val="autoZero"/>
        <c:auto val="1"/>
        <c:lblAlgn val="ctr"/>
        <c:lblOffset val="100"/>
        <c:noMultiLvlLbl val="0"/>
      </c:catAx>
      <c:valAx>
        <c:axId val="192626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Sheet2!$C$40</c:f>
              <c:strCache>
                <c:ptCount val="1"/>
                <c:pt idx="0">
                  <c:v>Total</c:v>
                </c:pt>
              </c:strCache>
            </c:strRef>
          </c:tx>
          <c:spPr>
            <a:solidFill>
              <a:schemeClr val="accent1"/>
            </a:solidFill>
            <a:ln>
              <a:noFill/>
            </a:ln>
            <a:effectLst/>
          </c:spPr>
          <c:invertIfNegative val="0"/>
          <c:cat>
            <c:strRef>
              <c:f>Sheet2!$B$41:$B$47</c:f>
              <c:strCache>
                <c:ptCount val="6"/>
                <c:pt idx="0">
                  <c:v>South</c:v>
                </c:pt>
                <c:pt idx="1">
                  <c:v>West</c:v>
                </c:pt>
                <c:pt idx="2">
                  <c:v>East</c:v>
                </c:pt>
                <c:pt idx="3">
                  <c:v>Asgard</c:v>
                </c:pt>
                <c:pt idx="4">
                  <c:v>North</c:v>
                </c:pt>
                <c:pt idx="5">
                  <c:v>Unknown</c:v>
                </c:pt>
              </c:strCache>
            </c:strRef>
          </c:cat>
          <c:val>
            <c:numRef>
              <c:f>Sheet2!$C$41:$C$47</c:f>
              <c:numCache>
                <c:formatCode>General</c:formatCode>
                <c:ptCount val="6"/>
                <c:pt idx="0">
                  <c:v>8299.9</c:v>
                </c:pt>
                <c:pt idx="1">
                  <c:v>5950.2</c:v>
                </c:pt>
                <c:pt idx="2">
                  <c:v>4900.1000000000004</c:v>
                </c:pt>
                <c:pt idx="3">
                  <c:v>4499.75</c:v>
                </c:pt>
                <c:pt idx="4">
                  <c:v>2399.85</c:v>
                </c:pt>
                <c:pt idx="5">
                  <c:v>1100.1000000000001</c:v>
                </c:pt>
              </c:numCache>
            </c:numRef>
          </c:val>
          <c:extLst>
            <c:ext xmlns:c16="http://schemas.microsoft.com/office/drawing/2014/chart" uri="{C3380CC4-5D6E-409C-BE32-E72D297353CC}">
              <c16:uniqueId val="{00000000-85C7-4C98-81D8-7477C7D092D0}"/>
            </c:ext>
          </c:extLst>
        </c:ser>
        <c:dLbls>
          <c:showLegendKey val="0"/>
          <c:showVal val="0"/>
          <c:showCatName val="0"/>
          <c:showSerName val="0"/>
          <c:showPercent val="0"/>
          <c:showBubbleSize val="0"/>
        </c:dLbls>
        <c:gapWidth val="182"/>
        <c:axId val="70478351"/>
        <c:axId val="1926274671"/>
      </c:barChart>
      <c:catAx>
        <c:axId val="7047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74671"/>
        <c:crosses val="autoZero"/>
        <c:auto val="1"/>
        <c:lblAlgn val="ctr"/>
        <c:lblOffset val="100"/>
        <c:noMultiLvlLbl val="0"/>
      </c:catAx>
      <c:valAx>
        <c:axId val="192627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Sheet2!$G$40</c:f>
              <c:strCache>
                <c:ptCount val="1"/>
                <c:pt idx="0">
                  <c:v>Total</c:v>
                </c:pt>
              </c:strCache>
            </c:strRef>
          </c:tx>
          <c:spPr>
            <a:ln w="28575" cap="rnd">
              <a:solidFill>
                <a:schemeClr val="accent1"/>
              </a:solidFill>
              <a:round/>
            </a:ln>
            <a:effectLst/>
          </c:spPr>
          <c:marker>
            <c:symbol val="none"/>
          </c:marker>
          <c:cat>
            <c:strRef>
              <c:f>Sheet2!$F$41:$F$44</c:f>
              <c:strCache>
                <c:ptCount val="3"/>
                <c:pt idx="0">
                  <c:v>2021</c:v>
                </c:pt>
                <c:pt idx="1">
                  <c:v>2022</c:v>
                </c:pt>
                <c:pt idx="2">
                  <c:v>2023</c:v>
                </c:pt>
              </c:strCache>
            </c:strRef>
          </c:cat>
          <c:val>
            <c:numRef>
              <c:f>Sheet2!$G$41:$G$44</c:f>
              <c:numCache>
                <c:formatCode>General</c:formatCode>
                <c:ptCount val="3"/>
                <c:pt idx="0">
                  <c:v>5750.1</c:v>
                </c:pt>
                <c:pt idx="1">
                  <c:v>14400.199999999999</c:v>
                </c:pt>
                <c:pt idx="2">
                  <c:v>6999.6</c:v>
                </c:pt>
              </c:numCache>
            </c:numRef>
          </c:val>
          <c:smooth val="0"/>
          <c:extLst>
            <c:ext xmlns:c16="http://schemas.microsoft.com/office/drawing/2014/chart" uri="{C3380CC4-5D6E-409C-BE32-E72D297353CC}">
              <c16:uniqueId val="{00000000-9EAE-4140-ABA8-0CF7E1F4F3BE}"/>
            </c:ext>
          </c:extLst>
        </c:ser>
        <c:dLbls>
          <c:showLegendKey val="0"/>
          <c:showVal val="0"/>
          <c:showCatName val="0"/>
          <c:showSerName val="0"/>
          <c:showPercent val="0"/>
          <c:showBubbleSize val="0"/>
        </c:dLbls>
        <c:smooth val="0"/>
        <c:axId val="1914948415"/>
        <c:axId val="1926299151"/>
      </c:lineChart>
      <c:catAx>
        <c:axId val="191494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99151"/>
        <c:crosses val="autoZero"/>
        <c:auto val="1"/>
        <c:lblAlgn val="ctr"/>
        <c:lblOffset val="100"/>
        <c:noMultiLvlLbl val="0"/>
      </c:catAx>
      <c:valAx>
        <c:axId val="192629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4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c:f>
              <c:strCache>
                <c:ptCount val="1"/>
                <c:pt idx="0">
                  <c:v>Total</c:v>
                </c:pt>
              </c:strCache>
            </c:strRef>
          </c:tx>
          <c:spPr>
            <a:solidFill>
              <a:schemeClr val="accent1"/>
            </a:solidFill>
            <a:ln>
              <a:noFill/>
            </a:ln>
            <a:effectLst/>
          </c:spPr>
          <c:invertIfNegative val="0"/>
          <c:cat>
            <c:strRef>
              <c:f>Sheet2!$B$6:$B$32</c:f>
              <c:strCache>
                <c:ptCount val="26"/>
                <c:pt idx="0">
                  <c:v>Steve Rogers</c:v>
                </c:pt>
                <c:pt idx="1">
                  <c:v>Thor Odinson</c:v>
                </c:pt>
                <c:pt idx="2">
                  <c:v>Loki Laufyeson</c:v>
                </c:pt>
                <c:pt idx="3">
                  <c:v>Tom Defalco</c:v>
                </c:pt>
                <c:pt idx="4">
                  <c:v>Roger Stern</c:v>
                </c:pt>
                <c:pt idx="5">
                  <c:v>Kurt Busiek</c:v>
                </c:pt>
                <c:pt idx="6">
                  <c:v>Janet Van Dyne</c:v>
                </c:pt>
                <c:pt idx="7">
                  <c:v>Hank Pym</c:v>
                </c:pt>
                <c:pt idx="8">
                  <c:v>Howard Stark</c:v>
                </c:pt>
                <c:pt idx="9">
                  <c:v>Peggy Carter</c:v>
                </c:pt>
                <c:pt idx="10">
                  <c:v>Nick Fury</c:v>
                </c:pt>
                <c:pt idx="11">
                  <c:v>Bruce Banner</c:v>
                </c:pt>
                <c:pt idx="12">
                  <c:v>Chris P. Bacon</c:v>
                </c:pt>
                <c:pt idx="13">
                  <c:v>Tony Stark</c:v>
                </c:pt>
                <c:pt idx="14">
                  <c:v>Diana Prince</c:v>
                </c:pt>
                <c:pt idx="15">
                  <c:v>Bruce Wayne</c:v>
                </c:pt>
                <c:pt idx="16">
                  <c:v>Clark Kent</c:v>
                </c:pt>
                <c:pt idx="17">
                  <c:v>Anna Belle</c:v>
                </c:pt>
                <c:pt idx="18">
                  <c:v>Mary Jane</c:v>
                </c:pt>
                <c:pt idx="19">
                  <c:v>John Smith</c:v>
                </c:pt>
                <c:pt idx="20">
                  <c:v>Jane Doe</c:v>
                </c:pt>
                <c:pt idx="21">
                  <c:v>Peter Parker</c:v>
                </c:pt>
                <c:pt idx="22">
                  <c:v>Phil Coulson</c:v>
                </c:pt>
                <c:pt idx="23">
                  <c:v>Natasha Romanoff</c:v>
                </c:pt>
                <c:pt idx="24">
                  <c:v>George Perez</c:v>
                </c:pt>
                <c:pt idx="25">
                  <c:v>Mike Tyson</c:v>
                </c:pt>
              </c:strCache>
            </c:strRef>
          </c:cat>
          <c:val>
            <c:numRef>
              <c:f>Sheet2!$C$6:$C$32</c:f>
              <c:numCache>
                <c:formatCode>General</c:formatCode>
                <c:ptCount val="26"/>
                <c:pt idx="0">
                  <c:v>3399.85</c:v>
                </c:pt>
                <c:pt idx="1">
                  <c:v>2300</c:v>
                </c:pt>
                <c:pt idx="2">
                  <c:v>2199.75</c:v>
                </c:pt>
                <c:pt idx="3">
                  <c:v>2100</c:v>
                </c:pt>
                <c:pt idx="4">
                  <c:v>2000.05</c:v>
                </c:pt>
                <c:pt idx="5">
                  <c:v>1800</c:v>
                </c:pt>
                <c:pt idx="6">
                  <c:v>1700.05</c:v>
                </c:pt>
                <c:pt idx="7">
                  <c:v>1600</c:v>
                </c:pt>
                <c:pt idx="8">
                  <c:v>1499.85</c:v>
                </c:pt>
                <c:pt idx="9">
                  <c:v>1400</c:v>
                </c:pt>
                <c:pt idx="10">
                  <c:v>1200.1499999999999</c:v>
                </c:pt>
                <c:pt idx="11">
                  <c:v>1100.1000000000001</c:v>
                </c:pt>
                <c:pt idx="12">
                  <c:v>1000.2</c:v>
                </c:pt>
                <c:pt idx="13">
                  <c:v>800</c:v>
                </c:pt>
                <c:pt idx="14">
                  <c:v>700</c:v>
                </c:pt>
                <c:pt idx="15">
                  <c:v>600</c:v>
                </c:pt>
                <c:pt idx="16">
                  <c:v>549.9</c:v>
                </c:pt>
                <c:pt idx="17">
                  <c:v>500</c:v>
                </c:pt>
                <c:pt idx="18">
                  <c:v>350</c:v>
                </c:pt>
                <c:pt idx="19">
                  <c:v>200</c:v>
                </c:pt>
                <c:pt idx="20">
                  <c:v>150</c:v>
                </c:pt>
                <c:pt idx="21">
                  <c:v>0</c:v>
                </c:pt>
                <c:pt idx="22">
                  <c:v>0</c:v>
                </c:pt>
                <c:pt idx="23">
                  <c:v>0</c:v>
                </c:pt>
                <c:pt idx="24">
                  <c:v>0</c:v>
                </c:pt>
                <c:pt idx="25">
                  <c:v>0</c:v>
                </c:pt>
              </c:numCache>
            </c:numRef>
          </c:val>
          <c:extLst>
            <c:ext xmlns:c16="http://schemas.microsoft.com/office/drawing/2014/chart" uri="{C3380CC4-5D6E-409C-BE32-E72D297353CC}">
              <c16:uniqueId val="{00000000-AA74-4144-810B-BB669502D337}"/>
            </c:ext>
          </c:extLst>
        </c:ser>
        <c:dLbls>
          <c:showLegendKey val="0"/>
          <c:showVal val="0"/>
          <c:showCatName val="0"/>
          <c:showSerName val="0"/>
          <c:showPercent val="0"/>
          <c:showBubbleSize val="0"/>
        </c:dLbls>
        <c:gapWidth val="219"/>
        <c:overlap val="-27"/>
        <c:axId val="1831217039"/>
        <c:axId val="1926356751"/>
      </c:barChart>
      <c:catAx>
        <c:axId val="183121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56751"/>
        <c:crosses val="autoZero"/>
        <c:auto val="1"/>
        <c:lblAlgn val="ctr"/>
        <c:lblOffset val="100"/>
        <c:noMultiLvlLbl val="0"/>
      </c:catAx>
      <c:valAx>
        <c:axId val="192635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1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s>
    <c:plotArea>
      <c:layout/>
      <c:pieChart>
        <c:varyColors val="1"/>
        <c:ser>
          <c:idx val="0"/>
          <c:order val="0"/>
          <c:tx>
            <c:strRef>
              <c:f>Sheet2!$G$5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88-442F-8871-ED6F34FC17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88-442F-8871-ED6F34FC17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88-442F-8871-ED6F34FC17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88-442F-8871-ED6F34FC17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F88-442F-8871-ED6F34FC17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F88-442F-8871-ED6F34FC17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F88-442F-8871-ED6F34FC17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F88-442F-8871-ED6F34FC17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F88-442F-8871-ED6F34FC175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F88-442F-8871-ED6F34FC175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F88-442F-8871-ED6F34FC175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F88-442F-8871-ED6F34FC175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F88-442F-8871-ED6F34FC175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F88-442F-8871-ED6F34FC175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F88-442F-8871-ED6F34FC175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F88-442F-8871-ED6F34FC175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F88-442F-8871-ED6F34FC175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F88-442F-8871-ED6F34FC175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F88-442F-8871-ED6F34FC175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CF88-442F-8871-ED6F34FC175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CF88-442F-8871-ED6F34FC1753}"/>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CF88-442F-8871-ED6F34FC1753}"/>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CF88-442F-8871-ED6F34FC1753}"/>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CF88-442F-8871-ED6F34FC1753}"/>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CF88-442F-8871-ED6F34FC1753}"/>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CF88-442F-8871-ED6F34FC1753}"/>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CF88-442F-8871-ED6F34FC1753}"/>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CF88-442F-8871-ED6F34FC1753}"/>
              </c:ext>
            </c:extLst>
          </c:dPt>
          <c:cat>
            <c:strRef>
              <c:f>Sheet2!$F$6:$F$34</c:f>
              <c:strCache>
                <c:ptCount val="28"/>
                <c:pt idx="0">
                  <c:v>Leadership Manual</c:v>
                </c:pt>
                <c:pt idx="1">
                  <c:v>Mjolnir</c:v>
                </c:pt>
                <c:pt idx="2">
                  <c:v>Trickster'S Hat</c:v>
                </c:pt>
                <c:pt idx="3">
                  <c:v>Pen Set</c:v>
                </c:pt>
                <c:pt idx="4">
                  <c:v>Notepads</c:v>
                </c:pt>
                <c:pt idx="5">
                  <c:v>Comic Book</c:v>
                </c:pt>
                <c:pt idx="6">
                  <c:v>Bacon Scented Candle</c:v>
                </c:pt>
                <c:pt idx="7">
                  <c:v>Wasp'S Wings</c:v>
                </c:pt>
                <c:pt idx="8">
                  <c:v>Lasso Of Truth</c:v>
                </c:pt>
                <c:pt idx="9">
                  <c:v>Ant-Man Suit</c:v>
                </c:pt>
                <c:pt idx="10">
                  <c:v>Fairy Dust</c:v>
                </c:pt>
                <c:pt idx="11">
                  <c:v>Arc Reactor</c:v>
                </c:pt>
                <c:pt idx="12">
                  <c:v>Glasses With X-Ray Vision</c:v>
                </c:pt>
                <c:pt idx="13">
                  <c:v>Vintage Pistol</c:v>
                </c:pt>
                <c:pt idx="14">
                  <c:v>Bat Signal</c:v>
                </c:pt>
                <c:pt idx="15">
                  <c:v>Potent Potion</c:v>
                </c:pt>
                <c:pt idx="16">
                  <c:v>Eye Patch</c:v>
                </c:pt>
                <c:pt idx="17">
                  <c:v>Gamma Radiation Serum</c:v>
                </c:pt>
                <c:pt idx="18">
                  <c:v>Captain America Shield</c:v>
                </c:pt>
                <c:pt idx="19">
                  <c:v>Unicorn Horn</c:v>
                </c:pt>
                <c:pt idx="20">
                  <c:v>Magic Wand</c:v>
                </c:pt>
                <c:pt idx="21">
                  <c:v>Iron Man Suit</c:v>
                </c:pt>
                <c:pt idx="22">
                  <c:v>Black Widow'S Bite</c:v>
                </c:pt>
                <c:pt idx="23">
                  <c:v>Drawing Pad</c:v>
                </c:pt>
                <c:pt idx="24">
                  <c:v>Agent Id Card</c:v>
                </c:pt>
                <c:pt idx="25">
                  <c:v>Web Shooter</c:v>
                </c:pt>
                <c:pt idx="26">
                  <c:v>Boxing Gloves</c:v>
                </c:pt>
                <c:pt idx="27">
                  <c:v>Spy Kit</c:v>
                </c:pt>
              </c:strCache>
            </c:strRef>
          </c:cat>
          <c:val>
            <c:numRef>
              <c:f>Sheet2!$G$6:$G$34</c:f>
              <c:numCache>
                <c:formatCode>General</c:formatCode>
                <c:ptCount val="28"/>
                <c:pt idx="0">
                  <c:v>85</c:v>
                </c:pt>
                <c:pt idx="1">
                  <c:v>80</c:v>
                </c:pt>
                <c:pt idx="2">
                  <c:v>75</c:v>
                </c:pt>
                <c:pt idx="3">
                  <c:v>70</c:v>
                </c:pt>
                <c:pt idx="4">
                  <c:v>65</c:v>
                </c:pt>
                <c:pt idx="5">
                  <c:v>60</c:v>
                </c:pt>
                <c:pt idx="6">
                  <c:v>60</c:v>
                </c:pt>
                <c:pt idx="7">
                  <c:v>55</c:v>
                </c:pt>
                <c:pt idx="8">
                  <c:v>50</c:v>
                </c:pt>
                <c:pt idx="9">
                  <c:v>50</c:v>
                </c:pt>
                <c:pt idx="10">
                  <c:v>50</c:v>
                </c:pt>
                <c:pt idx="11">
                  <c:v>45</c:v>
                </c:pt>
                <c:pt idx="12">
                  <c:v>45</c:v>
                </c:pt>
                <c:pt idx="13">
                  <c:v>40</c:v>
                </c:pt>
                <c:pt idx="14">
                  <c:v>40</c:v>
                </c:pt>
                <c:pt idx="15">
                  <c:v>35</c:v>
                </c:pt>
                <c:pt idx="16">
                  <c:v>35</c:v>
                </c:pt>
                <c:pt idx="17">
                  <c:v>30</c:v>
                </c:pt>
                <c:pt idx="18">
                  <c:v>20</c:v>
                </c:pt>
                <c:pt idx="19">
                  <c:v>15</c:v>
                </c:pt>
                <c:pt idx="20">
                  <c:v>10</c:v>
                </c:pt>
                <c:pt idx="21">
                  <c:v>5</c:v>
                </c:pt>
                <c:pt idx="22">
                  <c:v>0</c:v>
                </c:pt>
                <c:pt idx="23">
                  <c:v>0</c:v>
                </c:pt>
                <c:pt idx="24">
                  <c:v>0</c:v>
                </c:pt>
                <c:pt idx="25">
                  <c:v>0</c:v>
                </c:pt>
                <c:pt idx="26">
                  <c:v>0</c:v>
                </c:pt>
                <c:pt idx="27">
                  <c:v>0</c:v>
                </c:pt>
              </c:numCache>
            </c:numRef>
          </c:val>
          <c:extLst>
            <c:ext xmlns:c16="http://schemas.microsoft.com/office/drawing/2014/chart" uri="{C3380CC4-5D6E-409C-BE32-E72D297353CC}">
              <c16:uniqueId val="{00000038-CF88-442F-8871-ED6F34FC17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92038495188099E-2"/>
          <c:y val="0.16101633129192183"/>
          <c:w val="0.76416426071741028"/>
          <c:h val="0.65853091280256637"/>
        </c:manualLayout>
      </c:layout>
      <c:barChart>
        <c:barDir val="col"/>
        <c:grouping val="clustered"/>
        <c:varyColors val="0"/>
        <c:ser>
          <c:idx val="0"/>
          <c:order val="0"/>
          <c:tx>
            <c:strRef>
              <c:f>Sheet2!$J$5:$J$6</c:f>
              <c:strCache>
                <c:ptCount val="1"/>
                <c:pt idx="0">
                  <c:v>Average</c:v>
                </c:pt>
              </c:strCache>
            </c:strRef>
          </c:tx>
          <c:spPr>
            <a:solidFill>
              <a:schemeClr val="accent1"/>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Sheet2!$J$7:$J$13</c:f>
              <c:numCache>
                <c:formatCode>General</c:formatCode>
                <c:ptCount val="6"/>
                <c:pt idx="1">
                  <c:v>6</c:v>
                </c:pt>
                <c:pt idx="3">
                  <c:v>1</c:v>
                </c:pt>
              </c:numCache>
            </c:numRef>
          </c:val>
          <c:extLst>
            <c:ext xmlns:c16="http://schemas.microsoft.com/office/drawing/2014/chart" uri="{C3380CC4-5D6E-409C-BE32-E72D297353CC}">
              <c16:uniqueId val="{00000000-0811-4AA0-9B3F-63C833AEA532}"/>
            </c:ext>
          </c:extLst>
        </c:ser>
        <c:ser>
          <c:idx val="1"/>
          <c:order val="1"/>
          <c:tx>
            <c:strRef>
              <c:f>Sheet2!$K$5:$K$6</c:f>
              <c:strCache>
                <c:ptCount val="1"/>
                <c:pt idx="0">
                  <c:v>Excelent</c:v>
                </c:pt>
              </c:strCache>
            </c:strRef>
          </c:tx>
          <c:spPr>
            <a:solidFill>
              <a:schemeClr val="accent2"/>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Sheet2!$K$7:$K$13</c:f>
              <c:numCache>
                <c:formatCode>General</c:formatCode>
                <c:ptCount val="6"/>
                <c:pt idx="0">
                  <c:v>1</c:v>
                </c:pt>
                <c:pt idx="3">
                  <c:v>3</c:v>
                </c:pt>
                <c:pt idx="4">
                  <c:v>3</c:v>
                </c:pt>
              </c:numCache>
            </c:numRef>
          </c:val>
          <c:extLst>
            <c:ext xmlns:c16="http://schemas.microsoft.com/office/drawing/2014/chart" uri="{C3380CC4-5D6E-409C-BE32-E72D297353CC}">
              <c16:uniqueId val="{00000001-0811-4AA0-9B3F-63C833AEA532}"/>
            </c:ext>
          </c:extLst>
        </c:ser>
        <c:ser>
          <c:idx val="2"/>
          <c:order val="2"/>
          <c:tx>
            <c:strRef>
              <c:f>Sheet2!$L$5:$L$6</c:f>
              <c:strCache>
                <c:ptCount val="1"/>
                <c:pt idx="0">
                  <c:v>Good</c:v>
                </c:pt>
              </c:strCache>
            </c:strRef>
          </c:tx>
          <c:spPr>
            <a:solidFill>
              <a:schemeClr val="accent3"/>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Sheet2!$L$7:$L$13</c:f>
              <c:numCache>
                <c:formatCode>General</c:formatCode>
                <c:ptCount val="6"/>
                <c:pt idx="0">
                  <c:v>6</c:v>
                </c:pt>
                <c:pt idx="4">
                  <c:v>1</c:v>
                </c:pt>
              </c:numCache>
            </c:numRef>
          </c:val>
          <c:extLst>
            <c:ext xmlns:c16="http://schemas.microsoft.com/office/drawing/2014/chart" uri="{C3380CC4-5D6E-409C-BE32-E72D297353CC}">
              <c16:uniqueId val="{00000002-0811-4AA0-9B3F-63C833AEA532}"/>
            </c:ext>
          </c:extLst>
        </c:ser>
        <c:ser>
          <c:idx val="3"/>
          <c:order val="3"/>
          <c:tx>
            <c:strRef>
              <c:f>Sheet2!$M$5:$M$6</c:f>
              <c:strCache>
                <c:ptCount val="1"/>
                <c:pt idx="0">
                  <c:v>Leader</c:v>
                </c:pt>
              </c:strCache>
            </c:strRef>
          </c:tx>
          <c:spPr>
            <a:solidFill>
              <a:schemeClr val="accent4"/>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Sheet2!$M$7:$M$13</c:f>
              <c:numCache>
                <c:formatCode>General</c:formatCode>
                <c:ptCount val="6"/>
                <c:pt idx="1">
                  <c:v>1</c:v>
                </c:pt>
              </c:numCache>
            </c:numRef>
          </c:val>
          <c:extLst>
            <c:ext xmlns:c16="http://schemas.microsoft.com/office/drawing/2014/chart" uri="{C3380CC4-5D6E-409C-BE32-E72D297353CC}">
              <c16:uniqueId val="{00000003-0811-4AA0-9B3F-63C833AEA532}"/>
            </c:ext>
          </c:extLst>
        </c:ser>
        <c:ser>
          <c:idx val="4"/>
          <c:order val="4"/>
          <c:tx>
            <c:strRef>
              <c:f>Sheet2!$N$5:$N$6</c:f>
              <c:strCache>
                <c:ptCount val="1"/>
                <c:pt idx="0">
                  <c:v>Mischief</c:v>
                </c:pt>
              </c:strCache>
            </c:strRef>
          </c:tx>
          <c:spPr>
            <a:solidFill>
              <a:schemeClr val="accent5"/>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Sheet2!$N$7:$N$13</c:f>
              <c:numCache>
                <c:formatCode>General</c:formatCode>
                <c:ptCount val="6"/>
                <c:pt idx="5">
                  <c:v>1</c:v>
                </c:pt>
              </c:numCache>
            </c:numRef>
          </c:val>
          <c:extLst>
            <c:ext xmlns:c16="http://schemas.microsoft.com/office/drawing/2014/chart" uri="{C3380CC4-5D6E-409C-BE32-E72D297353CC}">
              <c16:uniqueId val="{00000004-0811-4AA0-9B3F-63C833AEA532}"/>
            </c:ext>
          </c:extLst>
        </c:ser>
        <c:ser>
          <c:idx val="5"/>
          <c:order val="5"/>
          <c:tx>
            <c:strRef>
              <c:f>Sheet2!$O$5:$O$6</c:f>
              <c:strCache>
                <c:ptCount val="1"/>
                <c:pt idx="0">
                  <c:v>Poor</c:v>
                </c:pt>
              </c:strCache>
            </c:strRef>
          </c:tx>
          <c:spPr>
            <a:solidFill>
              <a:schemeClr val="accent6"/>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Sheet2!$O$7:$O$13</c:f>
              <c:numCache>
                <c:formatCode>General</c:formatCode>
                <c:ptCount val="6"/>
                <c:pt idx="2">
                  <c:v>6</c:v>
                </c:pt>
              </c:numCache>
            </c:numRef>
          </c:val>
          <c:extLst>
            <c:ext xmlns:c16="http://schemas.microsoft.com/office/drawing/2014/chart" uri="{C3380CC4-5D6E-409C-BE32-E72D297353CC}">
              <c16:uniqueId val="{00000005-0811-4AA0-9B3F-63C833AEA532}"/>
            </c:ext>
          </c:extLst>
        </c:ser>
        <c:ser>
          <c:idx val="6"/>
          <c:order val="6"/>
          <c:tx>
            <c:strRef>
              <c:f>Sheet2!$P$5:$P$6</c:f>
              <c:strCache>
                <c:ptCount val="1"/>
                <c:pt idx="0">
                  <c:v>Spy</c:v>
                </c:pt>
              </c:strCache>
            </c:strRef>
          </c:tx>
          <c:spPr>
            <a:solidFill>
              <a:schemeClr val="accent1">
                <a:lumMod val="60000"/>
              </a:schemeClr>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Sheet2!$P$7:$P$13</c:f>
              <c:numCache>
                <c:formatCode>General</c:formatCode>
                <c:ptCount val="6"/>
                <c:pt idx="0">
                  <c:v>1</c:v>
                </c:pt>
              </c:numCache>
            </c:numRef>
          </c:val>
          <c:extLst>
            <c:ext xmlns:c16="http://schemas.microsoft.com/office/drawing/2014/chart" uri="{C3380CC4-5D6E-409C-BE32-E72D297353CC}">
              <c16:uniqueId val="{00000006-0811-4AA0-9B3F-63C833AEA532}"/>
            </c:ext>
          </c:extLst>
        </c:ser>
        <c:ser>
          <c:idx val="7"/>
          <c:order val="7"/>
          <c:tx>
            <c:strRef>
              <c:f>Sheet2!$Q$5:$Q$6</c:f>
              <c:strCache>
                <c:ptCount val="1"/>
                <c:pt idx="0">
                  <c:v>Worthy</c:v>
                </c:pt>
              </c:strCache>
            </c:strRef>
          </c:tx>
          <c:spPr>
            <a:solidFill>
              <a:schemeClr val="accent2">
                <a:lumMod val="60000"/>
              </a:schemeClr>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Sheet2!$Q$7:$Q$13</c:f>
              <c:numCache>
                <c:formatCode>General</c:formatCode>
                <c:ptCount val="6"/>
                <c:pt idx="5">
                  <c:v>1</c:v>
                </c:pt>
              </c:numCache>
            </c:numRef>
          </c:val>
          <c:extLst>
            <c:ext xmlns:c16="http://schemas.microsoft.com/office/drawing/2014/chart" uri="{C3380CC4-5D6E-409C-BE32-E72D297353CC}">
              <c16:uniqueId val="{00000007-0811-4AA0-9B3F-63C833AEA532}"/>
            </c:ext>
          </c:extLst>
        </c:ser>
        <c:dLbls>
          <c:showLegendKey val="0"/>
          <c:showVal val="0"/>
          <c:showCatName val="0"/>
          <c:showSerName val="0"/>
          <c:showPercent val="0"/>
          <c:showBubbleSize val="0"/>
        </c:dLbls>
        <c:gapWidth val="219"/>
        <c:overlap val="-27"/>
        <c:axId val="70473247"/>
        <c:axId val="1926264111"/>
      </c:barChart>
      <c:catAx>
        <c:axId val="704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64111"/>
        <c:crosses val="autoZero"/>
        <c:auto val="1"/>
        <c:lblAlgn val="ctr"/>
        <c:lblOffset val="100"/>
        <c:noMultiLvlLbl val="0"/>
      </c:catAx>
      <c:valAx>
        <c:axId val="192626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Sheet2!$C$40</c:f>
              <c:strCache>
                <c:ptCount val="1"/>
                <c:pt idx="0">
                  <c:v>Total</c:v>
                </c:pt>
              </c:strCache>
            </c:strRef>
          </c:tx>
          <c:spPr>
            <a:solidFill>
              <a:schemeClr val="accent1"/>
            </a:solidFill>
            <a:ln>
              <a:noFill/>
            </a:ln>
            <a:effectLst/>
          </c:spPr>
          <c:invertIfNegative val="0"/>
          <c:cat>
            <c:strRef>
              <c:f>Sheet2!$B$41:$B$47</c:f>
              <c:strCache>
                <c:ptCount val="6"/>
                <c:pt idx="0">
                  <c:v>South</c:v>
                </c:pt>
                <c:pt idx="1">
                  <c:v>West</c:v>
                </c:pt>
                <c:pt idx="2">
                  <c:v>East</c:v>
                </c:pt>
                <c:pt idx="3">
                  <c:v>Asgard</c:v>
                </c:pt>
                <c:pt idx="4">
                  <c:v>North</c:v>
                </c:pt>
                <c:pt idx="5">
                  <c:v>Unknown</c:v>
                </c:pt>
              </c:strCache>
            </c:strRef>
          </c:cat>
          <c:val>
            <c:numRef>
              <c:f>Sheet2!$C$41:$C$47</c:f>
              <c:numCache>
                <c:formatCode>General</c:formatCode>
                <c:ptCount val="6"/>
                <c:pt idx="0">
                  <c:v>8299.9</c:v>
                </c:pt>
                <c:pt idx="1">
                  <c:v>5950.2</c:v>
                </c:pt>
                <c:pt idx="2">
                  <c:v>4900.1000000000004</c:v>
                </c:pt>
                <c:pt idx="3">
                  <c:v>4499.75</c:v>
                </c:pt>
                <c:pt idx="4">
                  <c:v>2399.85</c:v>
                </c:pt>
                <c:pt idx="5">
                  <c:v>1100.1000000000001</c:v>
                </c:pt>
              </c:numCache>
            </c:numRef>
          </c:val>
          <c:extLst>
            <c:ext xmlns:c16="http://schemas.microsoft.com/office/drawing/2014/chart" uri="{C3380CC4-5D6E-409C-BE32-E72D297353CC}">
              <c16:uniqueId val="{00000000-563D-4B45-9843-5800D11B7263}"/>
            </c:ext>
          </c:extLst>
        </c:ser>
        <c:dLbls>
          <c:showLegendKey val="0"/>
          <c:showVal val="0"/>
          <c:showCatName val="0"/>
          <c:showSerName val="0"/>
          <c:showPercent val="0"/>
          <c:showBubbleSize val="0"/>
        </c:dLbls>
        <c:gapWidth val="182"/>
        <c:axId val="70478351"/>
        <c:axId val="1926274671"/>
      </c:barChart>
      <c:catAx>
        <c:axId val="7047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74671"/>
        <c:crosses val="autoZero"/>
        <c:auto val="1"/>
        <c:lblAlgn val="ctr"/>
        <c:lblOffset val="100"/>
        <c:noMultiLvlLbl val="0"/>
      </c:catAx>
      <c:valAx>
        <c:axId val="192627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Sheet2!$G$40</c:f>
              <c:strCache>
                <c:ptCount val="1"/>
                <c:pt idx="0">
                  <c:v>Total</c:v>
                </c:pt>
              </c:strCache>
            </c:strRef>
          </c:tx>
          <c:spPr>
            <a:ln w="28575" cap="rnd">
              <a:solidFill>
                <a:schemeClr val="accent1"/>
              </a:solidFill>
              <a:round/>
            </a:ln>
            <a:effectLst/>
          </c:spPr>
          <c:marker>
            <c:symbol val="none"/>
          </c:marker>
          <c:cat>
            <c:strRef>
              <c:f>Sheet2!$F$41:$F$44</c:f>
              <c:strCache>
                <c:ptCount val="3"/>
                <c:pt idx="0">
                  <c:v>2021</c:v>
                </c:pt>
                <c:pt idx="1">
                  <c:v>2022</c:v>
                </c:pt>
                <c:pt idx="2">
                  <c:v>2023</c:v>
                </c:pt>
              </c:strCache>
            </c:strRef>
          </c:cat>
          <c:val>
            <c:numRef>
              <c:f>Sheet2!$G$41:$G$44</c:f>
              <c:numCache>
                <c:formatCode>General</c:formatCode>
                <c:ptCount val="3"/>
                <c:pt idx="0">
                  <c:v>5750.1</c:v>
                </c:pt>
                <c:pt idx="1">
                  <c:v>14400.199999999999</c:v>
                </c:pt>
                <c:pt idx="2">
                  <c:v>6999.6</c:v>
                </c:pt>
              </c:numCache>
            </c:numRef>
          </c:val>
          <c:smooth val="0"/>
          <c:extLst>
            <c:ext xmlns:c16="http://schemas.microsoft.com/office/drawing/2014/chart" uri="{C3380CC4-5D6E-409C-BE32-E72D297353CC}">
              <c16:uniqueId val="{00000000-1973-4AC8-91B7-0F42AE1DEADD}"/>
            </c:ext>
          </c:extLst>
        </c:ser>
        <c:dLbls>
          <c:showLegendKey val="0"/>
          <c:showVal val="0"/>
          <c:showCatName val="0"/>
          <c:showSerName val="0"/>
          <c:showPercent val="0"/>
          <c:showBubbleSize val="0"/>
        </c:dLbls>
        <c:smooth val="0"/>
        <c:axId val="1914948415"/>
        <c:axId val="1926299151"/>
      </c:lineChart>
      <c:catAx>
        <c:axId val="191494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99151"/>
        <c:crosses val="autoZero"/>
        <c:auto val="1"/>
        <c:lblAlgn val="ctr"/>
        <c:lblOffset val="100"/>
        <c:noMultiLvlLbl val="0"/>
      </c:catAx>
      <c:valAx>
        <c:axId val="192629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4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c:f>
              <c:strCache>
                <c:ptCount val="1"/>
                <c:pt idx="0">
                  <c:v>Total</c:v>
                </c:pt>
              </c:strCache>
            </c:strRef>
          </c:tx>
          <c:spPr>
            <a:solidFill>
              <a:schemeClr val="accent1"/>
            </a:solidFill>
            <a:ln>
              <a:noFill/>
            </a:ln>
            <a:effectLst/>
          </c:spPr>
          <c:invertIfNegative val="0"/>
          <c:cat>
            <c:strRef>
              <c:f>Sheet2!$B$6:$B$32</c:f>
              <c:strCache>
                <c:ptCount val="26"/>
                <c:pt idx="0">
                  <c:v>Steve Rogers</c:v>
                </c:pt>
                <c:pt idx="1">
                  <c:v>Thor Odinson</c:v>
                </c:pt>
                <c:pt idx="2">
                  <c:v>Loki Laufyeson</c:v>
                </c:pt>
                <c:pt idx="3">
                  <c:v>Tom Defalco</c:v>
                </c:pt>
                <c:pt idx="4">
                  <c:v>Roger Stern</c:v>
                </c:pt>
                <c:pt idx="5">
                  <c:v>Kurt Busiek</c:v>
                </c:pt>
                <c:pt idx="6">
                  <c:v>Janet Van Dyne</c:v>
                </c:pt>
                <c:pt idx="7">
                  <c:v>Hank Pym</c:v>
                </c:pt>
                <c:pt idx="8">
                  <c:v>Howard Stark</c:v>
                </c:pt>
                <c:pt idx="9">
                  <c:v>Peggy Carter</c:v>
                </c:pt>
                <c:pt idx="10">
                  <c:v>Nick Fury</c:v>
                </c:pt>
                <c:pt idx="11">
                  <c:v>Bruce Banner</c:v>
                </c:pt>
                <c:pt idx="12">
                  <c:v>Chris P. Bacon</c:v>
                </c:pt>
                <c:pt idx="13">
                  <c:v>Tony Stark</c:v>
                </c:pt>
                <c:pt idx="14">
                  <c:v>Diana Prince</c:v>
                </c:pt>
                <c:pt idx="15">
                  <c:v>Bruce Wayne</c:v>
                </c:pt>
                <c:pt idx="16">
                  <c:v>Clark Kent</c:v>
                </c:pt>
                <c:pt idx="17">
                  <c:v>Anna Belle</c:v>
                </c:pt>
                <c:pt idx="18">
                  <c:v>Mary Jane</c:v>
                </c:pt>
                <c:pt idx="19">
                  <c:v>John Smith</c:v>
                </c:pt>
                <c:pt idx="20">
                  <c:v>Jane Doe</c:v>
                </c:pt>
                <c:pt idx="21">
                  <c:v>Peter Parker</c:v>
                </c:pt>
                <c:pt idx="22">
                  <c:v>Phil Coulson</c:v>
                </c:pt>
                <c:pt idx="23">
                  <c:v>Natasha Romanoff</c:v>
                </c:pt>
                <c:pt idx="24">
                  <c:v>George Perez</c:v>
                </c:pt>
                <c:pt idx="25">
                  <c:v>Mike Tyson</c:v>
                </c:pt>
              </c:strCache>
            </c:strRef>
          </c:cat>
          <c:val>
            <c:numRef>
              <c:f>Sheet2!$C$6:$C$32</c:f>
              <c:numCache>
                <c:formatCode>General</c:formatCode>
                <c:ptCount val="26"/>
                <c:pt idx="0">
                  <c:v>3399.85</c:v>
                </c:pt>
                <c:pt idx="1">
                  <c:v>2300</c:v>
                </c:pt>
                <c:pt idx="2">
                  <c:v>2199.75</c:v>
                </c:pt>
                <c:pt idx="3">
                  <c:v>2100</c:v>
                </c:pt>
                <c:pt idx="4">
                  <c:v>2000.05</c:v>
                </c:pt>
                <c:pt idx="5">
                  <c:v>1800</c:v>
                </c:pt>
                <c:pt idx="6">
                  <c:v>1700.05</c:v>
                </c:pt>
                <c:pt idx="7">
                  <c:v>1600</c:v>
                </c:pt>
                <c:pt idx="8">
                  <c:v>1499.85</c:v>
                </c:pt>
                <c:pt idx="9">
                  <c:v>1400</c:v>
                </c:pt>
                <c:pt idx="10">
                  <c:v>1200.1499999999999</c:v>
                </c:pt>
                <c:pt idx="11">
                  <c:v>1100.1000000000001</c:v>
                </c:pt>
                <c:pt idx="12">
                  <c:v>1000.2</c:v>
                </c:pt>
                <c:pt idx="13">
                  <c:v>800</c:v>
                </c:pt>
                <c:pt idx="14">
                  <c:v>700</c:v>
                </c:pt>
                <c:pt idx="15">
                  <c:v>600</c:v>
                </c:pt>
                <c:pt idx="16">
                  <c:v>549.9</c:v>
                </c:pt>
                <c:pt idx="17">
                  <c:v>500</c:v>
                </c:pt>
                <c:pt idx="18">
                  <c:v>350</c:v>
                </c:pt>
                <c:pt idx="19">
                  <c:v>200</c:v>
                </c:pt>
                <c:pt idx="20">
                  <c:v>150</c:v>
                </c:pt>
                <c:pt idx="21">
                  <c:v>0</c:v>
                </c:pt>
                <c:pt idx="22">
                  <c:v>0</c:v>
                </c:pt>
                <c:pt idx="23">
                  <c:v>0</c:v>
                </c:pt>
                <c:pt idx="24">
                  <c:v>0</c:v>
                </c:pt>
                <c:pt idx="25">
                  <c:v>0</c:v>
                </c:pt>
              </c:numCache>
            </c:numRef>
          </c:val>
          <c:extLst>
            <c:ext xmlns:c16="http://schemas.microsoft.com/office/drawing/2014/chart" uri="{C3380CC4-5D6E-409C-BE32-E72D297353CC}">
              <c16:uniqueId val="{00000000-A0DD-481D-B09D-CD6B23405E4B}"/>
            </c:ext>
          </c:extLst>
        </c:ser>
        <c:dLbls>
          <c:showLegendKey val="0"/>
          <c:showVal val="0"/>
          <c:showCatName val="0"/>
          <c:showSerName val="0"/>
          <c:showPercent val="0"/>
          <c:showBubbleSize val="0"/>
        </c:dLbls>
        <c:gapWidth val="219"/>
        <c:overlap val="-27"/>
        <c:axId val="1831217039"/>
        <c:axId val="1926356751"/>
      </c:barChart>
      <c:catAx>
        <c:axId val="183121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356751"/>
        <c:crosses val="autoZero"/>
        <c:auto val="1"/>
        <c:lblAlgn val="ctr"/>
        <c:lblOffset val="100"/>
        <c:noMultiLvlLbl val="0"/>
      </c:catAx>
      <c:valAx>
        <c:axId val="192635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21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s>
    <c:plotArea>
      <c:layout/>
      <c:pieChart>
        <c:varyColors val="1"/>
        <c:ser>
          <c:idx val="0"/>
          <c:order val="0"/>
          <c:tx>
            <c:strRef>
              <c:f>Sheet2!$G$5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25-4EFA-BB7C-898CC5A04F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25-4EFA-BB7C-898CC5A04F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25-4EFA-BB7C-898CC5A04F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25-4EFA-BB7C-898CC5A04F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25-4EFA-BB7C-898CC5A04F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25-4EFA-BB7C-898CC5A04F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25-4EFA-BB7C-898CC5A04F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725-4EFA-BB7C-898CC5A04F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725-4EFA-BB7C-898CC5A04F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725-4EFA-BB7C-898CC5A04FE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725-4EFA-BB7C-898CC5A04FE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725-4EFA-BB7C-898CC5A04FE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725-4EFA-BB7C-898CC5A04FE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725-4EFA-BB7C-898CC5A04FE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725-4EFA-BB7C-898CC5A04FE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6725-4EFA-BB7C-898CC5A04FE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6725-4EFA-BB7C-898CC5A04FE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6725-4EFA-BB7C-898CC5A04FE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6725-4EFA-BB7C-898CC5A04FE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6725-4EFA-BB7C-898CC5A04FE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6725-4EFA-BB7C-898CC5A04FE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6725-4EFA-BB7C-898CC5A04FE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6725-4EFA-BB7C-898CC5A04FE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6725-4EFA-BB7C-898CC5A04FE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6725-4EFA-BB7C-898CC5A04FE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6725-4EFA-BB7C-898CC5A04FE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6725-4EFA-BB7C-898CC5A04FE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6725-4EFA-BB7C-898CC5A04FED}"/>
              </c:ext>
            </c:extLst>
          </c:dPt>
          <c:cat>
            <c:strRef>
              <c:f>Sheet2!$F$6:$F$34</c:f>
              <c:strCache>
                <c:ptCount val="28"/>
                <c:pt idx="0">
                  <c:v>Leadership Manual</c:v>
                </c:pt>
                <c:pt idx="1">
                  <c:v>Mjolnir</c:v>
                </c:pt>
                <c:pt idx="2">
                  <c:v>Trickster'S Hat</c:v>
                </c:pt>
                <c:pt idx="3">
                  <c:v>Pen Set</c:v>
                </c:pt>
                <c:pt idx="4">
                  <c:v>Notepads</c:v>
                </c:pt>
                <c:pt idx="5">
                  <c:v>Comic Book</c:v>
                </c:pt>
                <c:pt idx="6">
                  <c:v>Bacon Scented Candle</c:v>
                </c:pt>
                <c:pt idx="7">
                  <c:v>Wasp'S Wings</c:v>
                </c:pt>
                <c:pt idx="8">
                  <c:v>Lasso Of Truth</c:v>
                </c:pt>
                <c:pt idx="9">
                  <c:v>Ant-Man Suit</c:v>
                </c:pt>
                <c:pt idx="10">
                  <c:v>Fairy Dust</c:v>
                </c:pt>
                <c:pt idx="11">
                  <c:v>Arc Reactor</c:v>
                </c:pt>
                <c:pt idx="12">
                  <c:v>Glasses With X-Ray Vision</c:v>
                </c:pt>
                <c:pt idx="13">
                  <c:v>Vintage Pistol</c:v>
                </c:pt>
                <c:pt idx="14">
                  <c:v>Bat Signal</c:v>
                </c:pt>
                <c:pt idx="15">
                  <c:v>Potent Potion</c:v>
                </c:pt>
                <c:pt idx="16">
                  <c:v>Eye Patch</c:v>
                </c:pt>
                <c:pt idx="17">
                  <c:v>Gamma Radiation Serum</c:v>
                </c:pt>
                <c:pt idx="18">
                  <c:v>Captain America Shield</c:v>
                </c:pt>
                <c:pt idx="19">
                  <c:v>Unicorn Horn</c:v>
                </c:pt>
                <c:pt idx="20">
                  <c:v>Magic Wand</c:v>
                </c:pt>
                <c:pt idx="21">
                  <c:v>Iron Man Suit</c:v>
                </c:pt>
                <c:pt idx="22">
                  <c:v>Black Widow'S Bite</c:v>
                </c:pt>
                <c:pt idx="23">
                  <c:v>Drawing Pad</c:v>
                </c:pt>
                <c:pt idx="24">
                  <c:v>Agent Id Card</c:v>
                </c:pt>
                <c:pt idx="25">
                  <c:v>Web Shooter</c:v>
                </c:pt>
                <c:pt idx="26">
                  <c:v>Boxing Gloves</c:v>
                </c:pt>
                <c:pt idx="27">
                  <c:v>Spy Kit</c:v>
                </c:pt>
              </c:strCache>
            </c:strRef>
          </c:cat>
          <c:val>
            <c:numRef>
              <c:f>Sheet2!$G$6:$G$34</c:f>
              <c:numCache>
                <c:formatCode>General</c:formatCode>
                <c:ptCount val="28"/>
                <c:pt idx="0">
                  <c:v>85</c:v>
                </c:pt>
                <c:pt idx="1">
                  <c:v>80</c:v>
                </c:pt>
                <c:pt idx="2">
                  <c:v>75</c:v>
                </c:pt>
                <c:pt idx="3">
                  <c:v>70</c:v>
                </c:pt>
                <c:pt idx="4">
                  <c:v>65</c:v>
                </c:pt>
                <c:pt idx="5">
                  <c:v>60</c:v>
                </c:pt>
                <c:pt idx="6">
                  <c:v>60</c:v>
                </c:pt>
                <c:pt idx="7">
                  <c:v>55</c:v>
                </c:pt>
                <c:pt idx="8">
                  <c:v>50</c:v>
                </c:pt>
                <c:pt idx="9">
                  <c:v>50</c:v>
                </c:pt>
                <c:pt idx="10">
                  <c:v>50</c:v>
                </c:pt>
                <c:pt idx="11">
                  <c:v>45</c:v>
                </c:pt>
                <c:pt idx="12">
                  <c:v>45</c:v>
                </c:pt>
                <c:pt idx="13">
                  <c:v>40</c:v>
                </c:pt>
                <c:pt idx="14">
                  <c:v>40</c:v>
                </c:pt>
                <c:pt idx="15">
                  <c:v>35</c:v>
                </c:pt>
                <c:pt idx="16">
                  <c:v>35</c:v>
                </c:pt>
                <c:pt idx="17">
                  <c:v>30</c:v>
                </c:pt>
                <c:pt idx="18">
                  <c:v>20</c:v>
                </c:pt>
                <c:pt idx="19">
                  <c:v>15</c:v>
                </c:pt>
                <c:pt idx="20">
                  <c:v>10</c:v>
                </c:pt>
                <c:pt idx="21">
                  <c:v>5</c:v>
                </c:pt>
                <c:pt idx="22">
                  <c:v>0</c:v>
                </c:pt>
                <c:pt idx="23">
                  <c:v>0</c:v>
                </c:pt>
                <c:pt idx="24">
                  <c:v>0</c:v>
                </c:pt>
                <c:pt idx="25">
                  <c:v>0</c:v>
                </c:pt>
                <c:pt idx="26">
                  <c:v>0</c:v>
                </c:pt>
                <c:pt idx="27">
                  <c:v>0</c:v>
                </c:pt>
              </c:numCache>
            </c:numRef>
          </c:val>
          <c:extLst>
            <c:ext xmlns:c16="http://schemas.microsoft.com/office/drawing/2014/chart" uri="{C3380CC4-5D6E-409C-BE32-E72D297353CC}">
              <c16:uniqueId val="{00000038-6725-4EFA-BB7C-898CC5A04F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692038495188099E-2"/>
          <c:y val="0.16101633129192183"/>
          <c:w val="0.76416426071741028"/>
          <c:h val="0.65853091280256637"/>
        </c:manualLayout>
      </c:layout>
      <c:barChart>
        <c:barDir val="col"/>
        <c:grouping val="clustered"/>
        <c:varyColors val="0"/>
        <c:ser>
          <c:idx val="0"/>
          <c:order val="0"/>
          <c:tx>
            <c:strRef>
              <c:f>Sheet2!$J$5:$J$6</c:f>
              <c:strCache>
                <c:ptCount val="1"/>
                <c:pt idx="0">
                  <c:v>Average</c:v>
                </c:pt>
              </c:strCache>
            </c:strRef>
          </c:tx>
          <c:spPr>
            <a:solidFill>
              <a:schemeClr val="accent1"/>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Sheet2!$J$7:$J$13</c:f>
              <c:numCache>
                <c:formatCode>General</c:formatCode>
                <c:ptCount val="6"/>
                <c:pt idx="1">
                  <c:v>6</c:v>
                </c:pt>
                <c:pt idx="3">
                  <c:v>1</c:v>
                </c:pt>
              </c:numCache>
            </c:numRef>
          </c:val>
          <c:extLst>
            <c:ext xmlns:c16="http://schemas.microsoft.com/office/drawing/2014/chart" uri="{C3380CC4-5D6E-409C-BE32-E72D297353CC}">
              <c16:uniqueId val="{00000000-9C3C-415A-A8DE-4061F1908A40}"/>
            </c:ext>
          </c:extLst>
        </c:ser>
        <c:ser>
          <c:idx val="1"/>
          <c:order val="1"/>
          <c:tx>
            <c:strRef>
              <c:f>Sheet2!$K$5:$K$6</c:f>
              <c:strCache>
                <c:ptCount val="1"/>
                <c:pt idx="0">
                  <c:v>Excelent</c:v>
                </c:pt>
              </c:strCache>
            </c:strRef>
          </c:tx>
          <c:spPr>
            <a:solidFill>
              <a:schemeClr val="accent2"/>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Sheet2!$K$7:$K$13</c:f>
              <c:numCache>
                <c:formatCode>General</c:formatCode>
                <c:ptCount val="6"/>
                <c:pt idx="0">
                  <c:v>1</c:v>
                </c:pt>
                <c:pt idx="3">
                  <c:v>3</c:v>
                </c:pt>
                <c:pt idx="4">
                  <c:v>3</c:v>
                </c:pt>
              </c:numCache>
            </c:numRef>
          </c:val>
          <c:extLst>
            <c:ext xmlns:c16="http://schemas.microsoft.com/office/drawing/2014/chart" uri="{C3380CC4-5D6E-409C-BE32-E72D297353CC}">
              <c16:uniqueId val="{00000001-9C3C-415A-A8DE-4061F1908A40}"/>
            </c:ext>
          </c:extLst>
        </c:ser>
        <c:ser>
          <c:idx val="2"/>
          <c:order val="2"/>
          <c:tx>
            <c:strRef>
              <c:f>Sheet2!$L$5:$L$6</c:f>
              <c:strCache>
                <c:ptCount val="1"/>
                <c:pt idx="0">
                  <c:v>Good</c:v>
                </c:pt>
              </c:strCache>
            </c:strRef>
          </c:tx>
          <c:spPr>
            <a:solidFill>
              <a:schemeClr val="accent3"/>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Sheet2!$L$7:$L$13</c:f>
              <c:numCache>
                <c:formatCode>General</c:formatCode>
                <c:ptCount val="6"/>
                <c:pt idx="0">
                  <c:v>6</c:v>
                </c:pt>
                <c:pt idx="4">
                  <c:v>1</c:v>
                </c:pt>
              </c:numCache>
            </c:numRef>
          </c:val>
          <c:extLst>
            <c:ext xmlns:c16="http://schemas.microsoft.com/office/drawing/2014/chart" uri="{C3380CC4-5D6E-409C-BE32-E72D297353CC}">
              <c16:uniqueId val="{00000002-9C3C-415A-A8DE-4061F1908A40}"/>
            </c:ext>
          </c:extLst>
        </c:ser>
        <c:ser>
          <c:idx val="3"/>
          <c:order val="3"/>
          <c:tx>
            <c:strRef>
              <c:f>Sheet2!$M$5:$M$6</c:f>
              <c:strCache>
                <c:ptCount val="1"/>
                <c:pt idx="0">
                  <c:v>Leader</c:v>
                </c:pt>
              </c:strCache>
            </c:strRef>
          </c:tx>
          <c:spPr>
            <a:solidFill>
              <a:schemeClr val="accent4"/>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Sheet2!$M$7:$M$13</c:f>
              <c:numCache>
                <c:formatCode>General</c:formatCode>
                <c:ptCount val="6"/>
                <c:pt idx="1">
                  <c:v>1</c:v>
                </c:pt>
              </c:numCache>
            </c:numRef>
          </c:val>
          <c:extLst>
            <c:ext xmlns:c16="http://schemas.microsoft.com/office/drawing/2014/chart" uri="{C3380CC4-5D6E-409C-BE32-E72D297353CC}">
              <c16:uniqueId val="{00000003-9C3C-415A-A8DE-4061F1908A40}"/>
            </c:ext>
          </c:extLst>
        </c:ser>
        <c:ser>
          <c:idx val="4"/>
          <c:order val="4"/>
          <c:tx>
            <c:strRef>
              <c:f>Sheet2!$N$5:$N$6</c:f>
              <c:strCache>
                <c:ptCount val="1"/>
                <c:pt idx="0">
                  <c:v>Mischief</c:v>
                </c:pt>
              </c:strCache>
            </c:strRef>
          </c:tx>
          <c:spPr>
            <a:solidFill>
              <a:schemeClr val="accent5"/>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Sheet2!$N$7:$N$13</c:f>
              <c:numCache>
                <c:formatCode>General</c:formatCode>
                <c:ptCount val="6"/>
                <c:pt idx="5">
                  <c:v>1</c:v>
                </c:pt>
              </c:numCache>
            </c:numRef>
          </c:val>
          <c:extLst>
            <c:ext xmlns:c16="http://schemas.microsoft.com/office/drawing/2014/chart" uri="{C3380CC4-5D6E-409C-BE32-E72D297353CC}">
              <c16:uniqueId val="{00000004-9C3C-415A-A8DE-4061F1908A40}"/>
            </c:ext>
          </c:extLst>
        </c:ser>
        <c:ser>
          <c:idx val="5"/>
          <c:order val="5"/>
          <c:tx>
            <c:strRef>
              <c:f>Sheet2!$O$5:$O$6</c:f>
              <c:strCache>
                <c:ptCount val="1"/>
                <c:pt idx="0">
                  <c:v>Poor</c:v>
                </c:pt>
              </c:strCache>
            </c:strRef>
          </c:tx>
          <c:spPr>
            <a:solidFill>
              <a:schemeClr val="accent6"/>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Sheet2!$O$7:$O$13</c:f>
              <c:numCache>
                <c:formatCode>General</c:formatCode>
                <c:ptCount val="6"/>
                <c:pt idx="2">
                  <c:v>6</c:v>
                </c:pt>
              </c:numCache>
            </c:numRef>
          </c:val>
          <c:extLst>
            <c:ext xmlns:c16="http://schemas.microsoft.com/office/drawing/2014/chart" uri="{C3380CC4-5D6E-409C-BE32-E72D297353CC}">
              <c16:uniqueId val="{00000005-9C3C-415A-A8DE-4061F1908A40}"/>
            </c:ext>
          </c:extLst>
        </c:ser>
        <c:ser>
          <c:idx val="6"/>
          <c:order val="6"/>
          <c:tx>
            <c:strRef>
              <c:f>Sheet2!$P$5:$P$6</c:f>
              <c:strCache>
                <c:ptCount val="1"/>
                <c:pt idx="0">
                  <c:v>Spy</c:v>
                </c:pt>
              </c:strCache>
            </c:strRef>
          </c:tx>
          <c:spPr>
            <a:solidFill>
              <a:schemeClr val="accent1">
                <a:lumMod val="60000"/>
              </a:schemeClr>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Sheet2!$P$7:$P$13</c:f>
              <c:numCache>
                <c:formatCode>General</c:formatCode>
                <c:ptCount val="6"/>
                <c:pt idx="0">
                  <c:v>1</c:v>
                </c:pt>
              </c:numCache>
            </c:numRef>
          </c:val>
          <c:extLst>
            <c:ext xmlns:c16="http://schemas.microsoft.com/office/drawing/2014/chart" uri="{C3380CC4-5D6E-409C-BE32-E72D297353CC}">
              <c16:uniqueId val="{00000006-9C3C-415A-A8DE-4061F1908A40}"/>
            </c:ext>
          </c:extLst>
        </c:ser>
        <c:ser>
          <c:idx val="7"/>
          <c:order val="7"/>
          <c:tx>
            <c:strRef>
              <c:f>Sheet2!$Q$5:$Q$6</c:f>
              <c:strCache>
                <c:ptCount val="1"/>
                <c:pt idx="0">
                  <c:v>Worthy</c:v>
                </c:pt>
              </c:strCache>
            </c:strRef>
          </c:tx>
          <c:spPr>
            <a:solidFill>
              <a:schemeClr val="accent2">
                <a:lumMod val="60000"/>
              </a:schemeClr>
            </a:solidFill>
            <a:ln>
              <a:noFill/>
            </a:ln>
            <a:effectLst/>
          </c:spPr>
          <c:invertIfNegative val="0"/>
          <c:cat>
            <c:strRef>
              <c:f>Sheet2!$I$7:$I$13</c:f>
              <c:strCache>
                <c:ptCount val="6"/>
                <c:pt idx="0">
                  <c:v>East</c:v>
                </c:pt>
                <c:pt idx="1">
                  <c:v>South</c:v>
                </c:pt>
                <c:pt idx="2">
                  <c:v>West</c:v>
                </c:pt>
                <c:pt idx="3">
                  <c:v>Unknown</c:v>
                </c:pt>
                <c:pt idx="4">
                  <c:v>North</c:v>
                </c:pt>
                <c:pt idx="5">
                  <c:v>Asgard</c:v>
                </c:pt>
              </c:strCache>
            </c:strRef>
          </c:cat>
          <c:val>
            <c:numRef>
              <c:f>Sheet2!$Q$7:$Q$13</c:f>
              <c:numCache>
                <c:formatCode>General</c:formatCode>
                <c:ptCount val="6"/>
                <c:pt idx="5">
                  <c:v>1</c:v>
                </c:pt>
              </c:numCache>
            </c:numRef>
          </c:val>
          <c:extLst>
            <c:ext xmlns:c16="http://schemas.microsoft.com/office/drawing/2014/chart" uri="{C3380CC4-5D6E-409C-BE32-E72D297353CC}">
              <c16:uniqueId val="{00000007-9C3C-415A-A8DE-4061F1908A40}"/>
            </c:ext>
          </c:extLst>
        </c:ser>
        <c:dLbls>
          <c:showLegendKey val="0"/>
          <c:showVal val="0"/>
          <c:showCatName val="0"/>
          <c:showSerName val="0"/>
          <c:showPercent val="0"/>
          <c:showBubbleSize val="0"/>
        </c:dLbls>
        <c:gapWidth val="219"/>
        <c:overlap val="-27"/>
        <c:axId val="70473247"/>
        <c:axId val="1926264111"/>
      </c:barChart>
      <c:catAx>
        <c:axId val="704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64111"/>
        <c:crosses val="autoZero"/>
        <c:auto val="1"/>
        <c:lblAlgn val="ctr"/>
        <c:lblOffset val="100"/>
        <c:noMultiLvlLbl val="0"/>
      </c:catAx>
      <c:valAx>
        <c:axId val="192626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Sheet2!$C$40</c:f>
              <c:strCache>
                <c:ptCount val="1"/>
                <c:pt idx="0">
                  <c:v>Total</c:v>
                </c:pt>
              </c:strCache>
            </c:strRef>
          </c:tx>
          <c:spPr>
            <a:solidFill>
              <a:schemeClr val="accent1"/>
            </a:solidFill>
            <a:ln>
              <a:noFill/>
            </a:ln>
            <a:effectLst/>
          </c:spPr>
          <c:invertIfNegative val="0"/>
          <c:cat>
            <c:strRef>
              <c:f>Sheet2!$B$41:$B$47</c:f>
              <c:strCache>
                <c:ptCount val="6"/>
                <c:pt idx="0">
                  <c:v>South</c:v>
                </c:pt>
                <c:pt idx="1">
                  <c:v>West</c:v>
                </c:pt>
                <c:pt idx="2">
                  <c:v>East</c:v>
                </c:pt>
                <c:pt idx="3">
                  <c:v>Asgard</c:v>
                </c:pt>
                <c:pt idx="4">
                  <c:v>North</c:v>
                </c:pt>
                <c:pt idx="5">
                  <c:v>Unknown</c:v>
                </c:pt>
              </c:strCache>
            </c:strRef>
          </c:cat>
          <c:val>
            <c:numRef>
              <c:f>Sheet2!$C$41:$C$47</c:f>
              <c:numCache>
                <c:formatCode>General</c:formatCode>
                <c:ptCount val="6"/>
                <c:pt idx="0">
                  <c:v>8299.9</c:v>
                </c:pt>
                <c:pt idx="1">
                  <c:v>5950.2</c:v>
                </c:pt>
                <c:pt idx="2">
                  <c:v>4900.1000000000004</c:v>
                </c:pt>
                <c:pt idx="3">
                  <c:v>4499.75</c:v>
                </c:pt>
                <c:pt idx="4">
                  <c:v>2399.85</c:v>
                </c:pt>
                <c:pt idx="5">
                  <c:v>1100.1000000000001</c:v>
                </c:pt>
              </c:numCache>
            </c:numRef>
          </c:val>
          <c:extLst>
            <c:ext xmlns:c16="http://schemas.microsoft.com/office/drawing/2014/chart" uri="{C3380CC4-5D6E-409C-BE32-E72D297353CC}">
              <c16:uniqueId val="{00000000-49EF-4C37-9B4D-297EECE80CED}"/>
            </c:ext>
          </c:extLst>
        </c:ser>
        <c:dLbls>
          <c:showLegendKey val="0"/>
          <c:showVal val="0"/>
          <c:showCatName val="0"/>
          <c:showSerName val="0"/>
          <c:showPercent val="0"/>
          <c:showBubbleSize val="0"/>
        </c:dLbls>
        <c:gapWidth val="182"/>
        <c:axId val="70478351"/>
        <c:axId val="1926274671"/>
      </c:barChart>
      <c:catAx>
        <c:axId val="7047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74671"/>
        <c:crosses val="autoZero"/>
        <c:auto val="1"/>
        <c:lblAlgn val="ctr"/>
        <c:lblOffset val="100"/>
        <c:noMultiLvlLbl val="0"/>
      </c:catAx>
      <c:valAx>
        <c:axId val="192627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7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[Excel_SalesData_Analysis.xlsx]Sheet2!PivotTable5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Sheet2!$G$40</c:f>
              <c:strCache>
                <c:ptCount val="1"/>
                <c:pt idx="0">
                  <c:v>Total</c:v>
                </c:pt>
              </c:strCache>
            </c:strRef>
          </c:tx>
          <c:spPr>
            <a:ln w="28575" cap="rnd">
              <a:solidFill>
                <a:schemeClr val="accent1"/>
              </a:solidFill>
              <a:round/>
            </a:ln>
            <a:effectLst/>
          </c:spPr>
          <c:marker>
            <c:symbol val="none"/>
          </c:marker>
          <c:cat>
            <c:strRef>
              <c:f>Sheet2!$F$41:$F$44</c:f>
              <c:strCache>
                <c:ptCount val="3"/>
                <c:pt idx="0">
                  <c:v>2021</c:v>
                </c:pt>
                <c:pt idx="1">
                  <c:v>2022</c:v>
                </c:pt>
                <c:pt idx="2">
                  <c:v>2023</c:v>
                </c:pt>
              </c:strCache>
            </c:strRef>
          </c:cat>
          <c:val>
            <c:numRef>
              <c:f>Sheet2!$G$41:$G$44</c:f>
              <c:numCache>
                <c:formatCode>General</c:formatCode>
                <c:ptCount val="3"/>
                <c:pt idx="0">
                  <c:v>5750.1</c:v>
                </c:pt>
                <c:pt idx="1">
                  <c:v>14400.199999999999</c:v>
                </c:pt>
                <c:pt idx="2">
                  <c:v>6999.6</c:v>
                </c:pt>
              </c:numCache>
            </c:numRef>
          </c:val>
          <c:smooth val="0"/>
          <c:extLst>
            <c:ext xmlns:c16="http://schemas.microsoft.com/office/drawing/2014/chart" uri="{C3380CC4-5D6E-409C-BE32-E72D297353CC}">
              <c16:uniqueId val="{00000000-62B1-4B2A-BED8-5089AE92555F}"/>
            </c:ext>
          </c:extLst>
        </c:ser>
        <c:dLbls>
          <c:showLegendKey val="0"/>
          <c:showVal val="0"/>
          <c:showCatName val="0"/>
          <c:showSerName val="0"/>
          <c:showPercent val="0"/>
          <c:showBubbleSize val="0"/>
        </c:dLbls>
        <c:smooth val="0"/>
        <c:axId val="1914948415"/>
        <c:axId val="1926299151"/>
      </c:lineChart>
      <c:catAx>
        <c:axId val="191494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299151"/>
        <c:crosses val="autoZero"/>
        <c:auto val="1"/>
        <c:lblAlgn val="ctr"/>
        <c:lblOffset val="100"/>
        <c:noMultiLvlLbl val="0"/>
      </c:catAx>
      <c:valAx>
        <c:axId val="1926299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4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542962</xdr:colOff>
      <xdr:row>17</xdr:row>
      <xdr:rowOff>19693</xdr:rowOff>
    </xdr:from>
    <xdr:to>
      <xdr:col>13</xdr:col>
      <xdr:colOff>356742</xdr:colOff>
      <xdr:row>31</xdr:row>
      <xdr:rowOff>71349</xdr:rowOff>
    </xdr:to>
    <xdr:graphicFrame macro="">
      <xdr:nvGraphicFramePr>
        <xdr:cNvPr id="2" name="Chart 1">
          <a:extLst>
            <a:ext uri="{FF2B5EF4-FFF2-40B4-BE49-F238E27FC236}">
              <a16:creationId xmlns:a16="http://schemas.microsoft.com/office/drawing/2014/main" id="{426ABB70-E9E6-D008-28AF-917C4E44B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19538</xdr:colOff>
      <xdr:row>16</xdr:row>
      <xdr:rowOff>176822</xdr:rowOff>
    </xdr:from>
    <xdr:to>
      <xdr:col>20</xdr:col>
      <xdr:colOff>576384</xdr:colOff>
      <xdr:row>31</xdr:row>
      <xdr:rowOff>58615</xdr:rowOff>
    </xdr:to>
    <xdr:graphicFrame macro="">
      <xdr:nvGraphicFramePr>
        <xdr:cNvPr id="3" name="Chart 2">
          <a:extLst>
            <a:ext uri="{FF2B5EF4-FFF2-40B4-BE49-F238E27FC236}">
              <a16:creationId xmlns:a16="http://schemas.microsoft.com/office/drawing/2014/main" id="{A8D8BCCC-EFDA-EEFC-D0E7-2B68480A1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36</xdr:row>
      <xdr:rowOff>30285</xdr:rowOff>
    </xdr:from>
    <xdr:to>
      <xdr:col>14</xdr:col>
      <xdr:colOff>107461</xdr:colOff>
      <xdr:row>50</xdr:row>
      <xdr:rowOff>68385</xdr:rowOff>
    </xdr:to>
    <xdr:graphicFrame macro="">
      <xdr:nvGraphicFramePr>
        <xdr:cNvPr id="4" name="Chart 3">
          <a:extLst>
            <a:ext uri="{FF2B5EF4-FFF2-40B4-BE49-F238E27FC236}">
              <a16:creationId xmlns:a16="http://schemas.microsoft.com/office/drawing/2014/main" id="{820E8249-FFE2-1537-4752-885F20264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19538</xdr:colOff>
      <xdr:row>36</xdr:row>
      <xdr:rowOff>20515</xdr:rowOff>
    </xdr:from>
    <xdr:to>
      <xdr:col>21</xdr:col>
      <xdr:colOff>254000</xdr:colOff>
      <xdr:row>50</xdr:row>
      <xdr:rowOff>68385</xdr:rowOff>
    </xdr:to>
    <xdr:graphicFrame macro="">
      <xdr:nvGraphicFramePr>
        <xdr:cNvPr id="5" name="Chart 4">
          <a:extLst>
            <a:ext uri="{FF2B5EF4-FFF2-40B4-BE49-F238E27FC236}">
              <a16:creationId xmlns:a16="http://schemas.microsoft.com/office/drawing/2014/main" id="{5693B102-2523-86F9-3F59-0112B7AFB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9769</xdr:colOff>
      <xdr:row>17</xdr:row>
      <xdr:rowOff>10746</xdr:rowOff>
    </xdr:from>
    <xdr:to>
      <xdr:col>27</xdr:col>
      <xdr:colOff>371231</xdr:colOff>
      <xdr:row>31</xdr:row>
      <xdr:rowOff>155331</xdr:rowOff>
    </xdr:to>
    <xdr:graphicFrame macro="">
      <xdr:nvGraphicFramePr>
        <xdr:cNvPr id="6" name="Chart 5">
          <a:extLst>
            <a:ext uri="{FF2B5EF4-FFF2-40B4-BE49-F238E27FC236}">
              <a16:creationId xmlns:a16="http://schemas.microsoft.com/office/drawing/2014/main" id="{A9593549-0644-4C4E-E72A-B367C8E42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502326</xdr:colOff>
      <xdr:row>17</xdr:row>
      <xdr:rowOff>15402</xdr:rowOff>
    </xdr:from>
    <xdr:to>
      <xdr:col>31</xdr:col>
      <xdr:colOff>408885</xdr:colOff>
      <xdr:row>26</xdr:row>
      <xdr:rowOff>144634</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3F02262C-CDBF-6F76-7730-A10732D57B3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597000" y="3590728"/>
              <a:ext cx="1728733" cy="1744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5808</xdr:colOff>
      <xdr:row>17</xdr:row>
      <xdr:rowOff>5268</xdr:rowOff>
    </xdr:from>
    <xdr:to>
      <xdr:col>35</xdr:col>
      <xdr:colOff>81064</xdr:colOff>
      <xdr:row>29</xdr:row>
      <xdr:rowOff>121595</xdr:rowOff>
    </xdr:to>
    <mc:AlternateContent xmlns:mc="http://schemas.openxmlformats.org/markup-compatibility/2006">
      <mc:Choice xmlns:a14="http://schemas.microsoft.com/office/drawing/2010/main" Requires="a14">
        <xdr:graphicFrame macro="">
          <xdr:nvGraphicFramePr>
            <xdr:cNvPr id="22" name="Rating">
              <a:extLst>
                <a:ext uri="{FF2B5EF4-FFF2-40B4-BE49-F238E27FC236}">
                  <a16:creationId xmlns:a16="http://schemas.microsoft.com/office/drawing/2014/main" id="{2F4E237D-A2E1-A805-7861-CA00DEF21ED7}"/>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25530047" y="3580594"/>
              <a:ext cx="1897430" cy="25182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441528</xdr:colOff>
      <xdr:row>28</xdr:row>
      <xdr:rowOff>116732</xdr:rowOff>
    </xdr:from>
    <xdr:to>
      <xdr:col>31</xdr:col>
      <xdr:colOff>446392</xdr:colOff>
      <xdr:row>41</xdr:row>
      <xdr:rowOff>96128</xdr:rowOff>
    </xdr:to>
    <mc:AlternateContent xmlns:mc="http://schemas.openxmlformats.org/markup-compatibility/2006">
      <mc:Choice xmlns:a14="http://schemas.microsoft.com/office/drawing/2010/main" Requires="a14">
        <xdr:graphicFrame macro="">
          <xdr:nvGraphicFramePr>
            <xdr:cNvPr id="23" name="Product">
              <a:extLst>
                <a:ext uri="{FF2B5EF4-FFF2-40B4-BE49-F238E27FC236}">
                  <a16:creationId xmlns:a16="http://schemas.microsoft.com/office/drawing/2014/main" id="{E1D88FA3-C3E9-E445-FD10-1EB187C36B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3536202" y="5873145"/>
              <a:ext cx="1827038" cy="2436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107140</xdr:colOff>
      <xdr:row>31</xdr:row>
      <xdr:rowOff>106599</xdr:rowOff>
    </xdr:from>
    <xdr:to>
      <xdr:col>35</xdr:col>
      <xdr:colOff>281498</xdr:colOff>
      <xdr:row>43</xdr:row>
      <xdr:rowOff>56727</xdr:rowOff>
    </xdr:to>
    <mc:AlternateContent xmlns:mc="http://schemas.openxmlformats.org/markup-compatibility/2006">
      <mc:Choice xmlns:a14="http://schemas.microsoft.com/office/drawing/2010/main" Requires="a14">
        <xdr:graphicFrame macro="">
          <xdr:nvGraphicFramePr>
            <xdr:cNvPr id="24" name="Designation">
              <a:extLst>
                <a:ext uri="{FF2B5EF4-FFF2-40B4-BE49-F238E27FC236}">
                  <a16:creationId xmlns:a16="http://schemas.microsoft.com/office/drawing/2014/main" id="{09D4AF12-0F68-08DB-3894-5CFC82B5F166}"/>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dr:sp macro="" textlink="">
          <xdr:nvSpPr>
            <xdr:cNvPr id="0" name=""/>
            <xdr:cNvSpPr>
              <a:spLocks noTextEdit="1"/>
            </xdr:cNvSpPr>
          </xdr:nvSpPr>
          <xdr:spPr>
            <a:xfrm>
              <a:off x="25631379" y="6442795"/>
              <a:ext cx="1996532" cy="2186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43</xdr:col>
      <xdr:colOff>542962</xdr:colOff>
      <xdr:row>29</xdr:row>
      <xdr:rowOff>19693</xdr:rowOff>
    </xdr:from>
    <xdr:to>
      <xdr:col>49</xdr:col>
      <xdr:colOff>356742</xdr:colOff>
      <xdr:row>43</xdr:row>
      <xdr:rowOff>71349</xdr:rowOff>
    </xdr:to>
    <xdr:graphicFrame macro="">
      <xdr:nvGraphicFramePr>
        <xdr:cNvPr id="43" name="Chart 42">
          <a:extLst>
            <a:ext uri="{FF2B5EF4-FFF2-40B4-BE49-F238E27FC236}">
              <a16:creationId xmlns:a16="http://schemas.microsoft.com/office/drawing/2014/main" id="{EB28BCBC-0DAE-41A9-B49D-27ABCDA92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52</xdr:col>
      <xdr:colOff>19538</xdr:colOff>
      <xdr:row>28</xdr:row>
      <xdr:rowOff>176822</xdr:rowOff>
    </xdr:from>
    <xdr:to>
      <xdr:col>56</xdr:col>
      <xdr:colOff>576384</xdr:colOff>
      <xdr:row>43</xdr:row>
      <xdr:rowOff>58615</xdr:rowOff>
    </xdr:to>
    <xdr:graphicFrame macro="">
      <xdr:nvGraphicFramePr>
        <xdr:cNvPr id="44" name="Chart 43">
          <a:extLst>
            <a:ext uri="{FF2B5EF4-FFF2-40B4-BE49-F238E27FC236}">
              <a16:creationId xmlns:a16="http://schemas.microsoft.com/office/drawing/2014/main" id="{CF9C1ED7-0CE6-4057-B1EA-6537FAC88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0</xdr:colOff>
      <xdr:row>48</xdr:row>
      <xdr:rowOff>30285</xdr:rowOff>
    </xdr:from>
    <xdr:to>
      <xdr:col>50</xdr:col>
      <xdr:colOff>107461</xdr:colOff>
      <xdr:row>62</xdr:row>
      <xdr:rowOff>68385</xdr:rowOff>
    </xdr:to>
    <xdr:graphicFrame macro="">
      <xdr:nvGraphicFramePr>
        <xdr:cNvPr id="45" name="Chart 44">
          <a:extLst>
            <a:ext uri="{FF2B5EF4-FFF2-40B4-BE49-F238E27FC236}">
              <a16:creationId xmlns:a16="http://schemas.microsoft.com/office/drawing/2014/main" id="{AD18155D-B19B-43EF-8A98-85630A186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52</xdr:col>
      <xdr:colOff>19538</xdr:colOff>
      <xdr:row>48</xdr:row>
      <xdr:rowOff>20515</xdr:rowOff>
    </xdr:from>
    <xdr:to>
      <xdr:col>57</xdr:col>
      <xdr:colOff>254000</xdr:colOff>
      <xdr:row>62</xdr:row>
      <xdr:rowOff>68385</xdr:rowOff>
    </xdr:to>
    <xdr:graphicFrame macro="">
      <xdr:nvGraphicFramePr>
        <xdr:cNvPr id="46" name="Chart 45">
          <a:extLst>
            <a:ext uri="{FF2B5EF4-FFF2-40B4-BE49-F238E27FC236}">
              <a16:creationId xmlns:a16="http://schemas.microsoft.com/office/drawing/2014/main" id="{DC910B6D-17DF-49E1-AF98-98D530C6F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58</xdr:col>
      <xdr:colOff>9769</xdr:colOff>
      <xdr:row>29</xdr:row>
      <xdr:rowOff>10746</xdr:rowOff>
    </xdr:from>
    <xdr:to>
      <xdr:col>63</xdr:col>
      <xdr:colOff>371231</xdr:colOff>
      <xdr:row>43</xdr:row>
      <xdr:rowOff>155331</xdr:rowOff>
    </xdr:to>
    <xdr:graphicFrame macro="">
      <xdr:nvGraphicFramePr>
        <xdr:cNvPr id="47" name="Chart 46">
          <a:extLst>
            <a:ext uri="{FF2B5EF4-FFF2-40B4-BE49-F238E27FC236}">
              <a16:creationId xmlns:a16="http://schemas.microsoft.com/office/drawing/2014/main" id="{C5E3A0C0-5CB8-4307-AB84-ACE606BB4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64</xdr:col>
      <xdr:colOff>502326</xdr:colOff>
      <xdr:row>29</xdr:row>
      <xdr:rowOff>15402</xdr:rowOff>
    </xdr:from>
    <xdr:ext cx="1716309" cy="1843732"/>
    <mc:AlternateContent xmlns:mc="http://schemas.openxmlformats.org/markup-compatibility/2006">
      <mc:Choice xmlns:a14="http://schemas.microsoft.com/office/drawing/2010/main" Requires="a14">
        <xdr:graphicFrame macro="">
          <xdr:nvGraphicFramePr>
            <xdr:cNvPr id="48" name="Region 2">
              <a:extLst>
                <a:ext uri="{FF2B5EF4-FFF2-40B4-BE49-F238E27FC236}">
                  <a16:creationId xmlns:a16="http://schemas.microsoft.com/office/drawing/2014/main" id="{720DB73D-5123-45F5-BE91-ED171AAC146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45463087" y="5992685"/>
              <a:ext cx="1716309" cy="1843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68</xdr:col>
      <xdr:colOff>5808</xdr:colOff>
      <xdr:row>29</xdr:row>
      <xdr:rowOff>5268</xdr:rowOff>
    </xdr:from>
    <xdr:ext cx="1885006" cy="2592827"/>
    <mc:AlternateContent xmlns:mc="http://schemas.openxmlformats.org/markup-compatibility/2006">
      <mc:Choice xmlns:a14="http://schemas.microsoft.com/office/drawing/2010/main" Requires="a14">
        <xdr:graphicFrame macro="">
          <xdr:nvGraphicFramePr>
            <xdr:cNvPr id="49" name="Rating 2">
              <a:extLst>
                <a:ext uri="{FF2B5EF4-FFF2-40B4-BE49-F238E27FC236}">
                  <a16:creationId xmlns:a16="http://schemas.microsoft.com/office/drawing/2014/main" id="{02F71DCB-5D4C-4E4E-AC9F-C344103EE2A0}"/>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dr:sp macro="" textlink="">
          <xdr:nvSpPr>
            <xdr:cNvPr id="0" name=""/>
            <xdr:cNvSpPr>
              <a:spLocks noTextEdit="1"/>
            </xdr:cNvSpPr>
          </xdr:nvSpPr>
          <xdr:spPr>
            <a:xfrm>
              <a:off x="47396134" y="5982551"/>
              <a:ext cx="1885006" cy="2592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64</xdr:col>
      <xdr:colOff>441528</xdr:colOff>
      <xdr:row>40</xdr:row>
      <xdr:rowOff>116732</xdr:rowOff>
    </xdr:from>
    <xdr:ext cx="1814614" cy="2551146"/>
    <mc:AlternateContent xmlns:mc="http://schemas.openxmlformats.org/markup-compatibility/2006">
      <mc:Choice xmlns:a14="http://schemas.microsoft.com/office/drawing/2010/main" Requires="a14">
        <xdr:graphicFrame macro="">
          <xdr:nvGraphicFramePr>
            <xdr:cNvPr id="50" name="Product 2">
              <a:extLst>
                <a:ext uri="{FF2B5EF4-FFF2-40B4-BE49-F238E27FC236}">
                  <a16:creationId xmlns:a16="http://schemas.microsoft.com/office/drawing/2014/main" id="{5404FDAF-EE01-414E-AA32-A30AE140028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45402289" y="8150862"/>
              <a:ext cx="1814614" cy="2551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68</xdr:col>
      <xdr:colOff>107140</xdr:colOff>
      <xdr:row>43</xdr:row>
      <xdr:rowOff>106599</xdr:rowOff>
    </xdr:from>
    <xdr:ext cx="1883973" cy="2397320"/>
    <mc:AlternateContent xmlns:mc="http://schemas.openxmlformats.org/markup-compatibility/2006">
      <mc:Choice xmlns:a14="http://schemas.microsoft.com/office/drawing/2010/main" Requires="a14">
        <xdr:graphicFrame macro="">
          <xdr:nvGraphicFramePr>
            <xdr:cNvPr id="51" name="Designation 2">
              <a:extLst>
                <a:ext uri="{FF2B5EF4-FFF2-40B4-BE49-F238E27FC236}">
                  <a16:creationId xmlns:a16="http://schemas.microsoft.com/office/drawing/2014/main" id="{0CE33AD8-95B3-41DA-85B1-5E04F735B548}"/>
                </a:ext>
              </a:extLst>
            </xdr:cNvPr>
            <xdr:cNvGraphicFramePr/>
          </xdr:nvGraphicFramePr>
          <xdr:xfrm>
            <a:off x="0" y="0"/>
            <a:ext cx="0" cy="0"/>
          </xdr:xfrm>
          <a:graphic>
            <a:graphicData uri="http://schemas.microsoft.com/office/drawing/2010/slicer">
              <sle:slicer xmlns:sle="http://schemas.microsoft.com/office/drawing/2010/slicer" name="Designation 2"/>
            </a:graphicData>
          </a:graphic>
        </xdr:graphicFrame>
      </mc:Choice>
      <mc:Fallback>
        <xdr:sp macro="" textlink="">
          <xdr:nvSpPr>
            <xdr:cNvPr id="0" name=""/>
            <xdr:cNvSpPr>
              <a:spLocks noTextEdit="1"/>
            </xdr:cNvSpPr>
          </xdr:nvSpPr>
          <xdr:spPr>
            <a:xfrm>
              <a:off x="47497466" y="8679099"/>
              <a:ext cx="1883973" cy="239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12</xdr:col>
      <xdr:colOff>542962</xdr:colOff>
      <xdr:row>56</xdr:row>
      <xdr:rowOff>19693</xdr:rowOff>
    </xdr:from>
    <xdr:to>
      <xdr:col>18</xdr:col>
      <xdr:colOff>356742</xdr:colOff>
      <xdr:row>70</xdr:row>
      <xdr:rowOff>71349</xdr:rowOff>
    </xdr:to>
    <xdr:graphicFrame macro="">
      <xdr:nvGraphicFramePr>
        <xdr:cNvPr id="2" name="Chart 1">
          <a:extLst>
            <a:ext uri="{FF2B5EF4-FFF2-40B4-BE49-F238E27FC236}">
              <a16:creationId xmlns:a16="http://schemas.microsoft.com/office/drawing/2014/main" id="{471B27DF-81A7-4932-88A4-DE9BCBCB1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785091</xdr:colOff>
      <xdr:row>55</xdr:row>
      <xdr:rowOff>204615</xdr:rowOff>
    </xdr:from>
    <xdr:to>
      <xdr:col>25</xdr:col>
      <xdr:colOff>230909</xdr:colOff>
      <xdr:row>70</xdr:row>
      <xdr:rowOff>124508</xdr:rowOff>
    </xdr:to>
    <xdr:graphicFrame macro="">
      <xdr:nvGraphicFramePr>
        <xdr:cNvPr id="3" name="Chart 2">
          <a:extLst>
            <a:ext uri="{FF2B5EF4-FFF2-40B4-BE49-F238E27FC236}">
              <a16:creationId xmlns:a16="http://schemas.microsoft.com/office/drawing/2014/main" id="{525AEF8F-2DF4-40E0-8668-9F79DC6AB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75</xdr:row>
      <xdr:rowOff>30285</xdr:rowOff>
    </xdr:from>
    <xdr:to>
      <xdr:col>18</xdr:col>
      <xdr:colOff>935182</xdr:colOff>
      <xdr:row>89</xdr:row>
      <xdr:rowOff>68385</xdr:rowOff>
    </xdr:to>
    <xdr:graphicFrame macro="">
      <xdr:nvGraphicFramePr>
        <xdr:cNvPr id="4" name="Chart 3">
          <a:extLst>
            <a:ext uri="{FF2B5EF4-FFF2-40B4-BE49-F238E27FC236}">
              <a16:creationId xmlns:a16="http://schemas.microsoft.com/office/drawing/2014/main" id="{E7ECDD2A-8FFE-4C48-9B89-1B4C955BD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762000</xdr:colOff>
      <xdr:row>75</xdr:row>
      <xdr:rowOff>20515</xdr:rowOff>
    </xdr:from>
    <xdr:to>
      <xdr:col>25</xdr:col>
      <xdr:colOff>254000</xdr:colOff>
      <xdr:row>89</xdr:row>
      <xdr:rowOff>68385</xdr:rowOff>
    </xdr:to>
    <xdr:graphicFrame macro="">
      <xdr:nvGraphicFramePr>
        <xdr:cNvPr id="5" name="Chart 4">
          <a:extLst>
            <a:ext uri="{FF2B5EF4-FFF2-40B4-BE49-F238E27FC236}">
              <a16:creationId xmlns:a16="http://schemas.microsoft.com/office/drawing/2014/main" id="{A09FA5D8-DB8B-4AEF-9A04-ACE431398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9769</xdr:colOff>
      <xdr:row>56</xdr:row>
      <xdr:rowOff>10746</xdr:rowOff>
    </xdr:from>
    <xdr:to>
      <xdr:col>31</xdr:col>
      <xdr:colOff>371231</xdr:colOff>
      <xdr:row>70</xdr:row>
      <xdr:rowOff>155331</xdr:rowOff>
    </xdr:to>
    <xdr:graphicFrame macro="">
      <xdr:nvGraphicFramePr>
        <xdr:cNvPr id="6" name="Chart 5">
          <a:extLst>
            <a:ext uri="{FF2B5EF4-FFF2-40B4-BE49-F238E27FC236}">
              <a16:creationId xmlns:a16="http://schemas.microsoft.com/office/drawing/2014/main" id="{AD268801-F0AC-4C01-9E99-480E03C4C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502326</xdr:colOff>
      <xdr:row>56</xdr:row>
      <xdr:rowOff>15402</xdr:rowOff>
    </xdr:from>
    <xdr:to>
      <xdr:col>35</xdr:col>
      <xdr:colOff>408886</xdr:colOff>
      <xdr:row>65</xdr:row>
      <xdr:rowOff>125207</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988F6322-8D96-41C0-9B21-D20A4DA860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0959647" y="10867098"/>
              <a:ext cx="1743525" cy="1742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5808</xdr:colOff>
      <xdr:row>56</xdr:row>
      <xdr:rowOff>5268</xdr:rowOff>
    </xdr:from>
    <xdr:to>
      <xdr:col>39</xdr:col>
      <xdr:colOff>81063</xdr:colOff>
      <xdr:row>69</xdr:row>
      <xdr:rowOff>97744</xdr:rowOff>
    </xdr:to>
    <mc:AlternateContent xmlns:mc="http://schemas.openxmlformats.org/markup-compatibility/2006">
      <mc:Choice xmlns:a14="http://schemas.microsoft.com/office/drawing/2010/main" Requires="a14">
        <xdr:graphicFrame macro="">
          <xdr:nvGraphicFramePr>
            <xdr:cNvPr id="8" name="Rating 1">
              <a:extLst>
                <a:ext uri="{FF2B5EF4-FFF2-40B4-BE49-F238E27FC236}">
                  <a16:creationId xmlns:a16="http://schemas.microsoft.com/office/drawing/2014/main" id="{0BC46638-E276-467C-93A3-083C5FD9A5B1}"/>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32912415" y="10856964"/>
              <a:ext cx="1912219" cy="2451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441528</xdr:colOff>
      <xdr:row>67</xdr:row>
      <xdr:rowOff>116732</xdr:rowOff>
    </xdr:from>
    <xdr:to>
      <xdr:col>35</xdr:col>
      <xdr:colOff>446393</xdr:colOff>
      <xdr:row>81</xdr:row>
      <xdr:rowOff>7227</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B7C8B39E-CE8A-42CE-A362-34BE8260073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0898849" y="12964143"/>
              <a:ext cx="1841830" cy="2464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107140</xdr:colOff>
      <xdr:row>70</xdr:row>
      <xdr:rowOff>106599</xdr:rowOff>
    </xdr:from>
    <xdr:to>
      <xdr:col>39</xdr:col>
      <xdr:colOff>181362</xdr:colOff>
      <xdr:row>83</xdr:row>
      <xdr:rowOff>33768</xdr:rowOff>
    </xdr:to>
    <mc:AlternateContent xmlns:mc="http://schemas.openxmlformats.org/markup-compatibility/2006">
      <mc:Choice xmlns:a14="http://schemas.microsoft.com/office/drawing/2010/main" Requires="a14">
        <xdr:graphicFrame macro="">
          <xdr:nvGraphicFramePr>
            <xdr:cNvPr id="10" name="Designation 1">
              <a:extLst>
                <a:ext uri="{FF2B5EF4-FFF2-40B4-BE49-F238E27FC236}">
                  <a16:creationId xmlns:a16="http://schemas.microsoft.com/office/drawing/2014/main" id="{BF0FCE4B-FACB-4525-A752-E23862238A59}"/>
                </a:ext>
              </a:extLst>
            </xdr:cNvPr>
            <xdr:cNvGraphicFramePr/>
          </xdr:nvGraphicFramePr>
          <xdr:xfrm>
            <a:off x="0" y="0"/>
            <a:ext cx="0" cy="0"/>
          </xdr:xfrm>
          <a:graphic>
            <a:graphicData uri="http://schemas.microsoft.com/office/drawing/2010/slicer">
              <sle:slicer xmlns:sle="http://schemas.microsoft.com/office/drawing/2010/slicer" name="Designation 1"/>
            </a:graphicData>
          </a:graphic>
        </xdr:graphicFrame>
      </mc:Choice>
      <mc:Fallback>
        <xdr:sp macro="" textlink="">
          <xdr:nvSpPr>
            <xdr:cNvPr id="0" name=""/>
            <xdr:cNvSpPr>
              <a:spLocks noTextEdit="1"/>
            </xdr:cNvSpPr>
          </xdr:nvSpPr>
          <xdr:spPr>
            <a:xfrm>
              <a:off x="33013747" y="13498295"/>
              <a:ext cx="1911186" cy="2319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 Nandhini Murugan" refreshedDate="46289.585177430556" createdVersion="8" refreshedVersion="8" minRefreshableVersion="3" recordCount="31" xr:uid="{2C41954E-FE07-4CF9-83E7-0C74DD98B2DF}">
  <cacheSource type="worksheet">
    <worksheetSource ref="A4:K35" sheet="Sheet1"/>
  </cacheSource>
  <cacheFields count="14">
    <cacheField name="Date" numFmtId="14">
      <sharedItems containsSemiMixedTypes="0" containsNonDate="0" containsDate="1" containsString="0" minDate="2021-01-31T00:00:00" maxDate="2023-05-01T00:00:00" count="28">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d v="2022-07-31T00:00:00"/>
        <d v="2022-08-31T00:00:00"/>
        <d v="2022-09-30T00:00:00"/>
        <d v="2022-10-31T00:00:00"/>
        <d v="2022-11-30T00:00:00"/>
        <d v="2022-12-31T00:00:00"/>
        <d v="2023-01-31T00:00:00"/>
        <d v="2023-02-28T00:00:00"/>
        <d v="2023-03-31T00:00:00"/>
        <d v="2023-04-30T00:00:00"/>
      </sharedItems>
      <fieldGroup par="13"/>
    </cacheField>
    <cacheField name="ID" numFmtId="0">
      <sharedItems containsSemiMixedTypes="0" containsString="0" containsNumber="1" containsInteger="1" minValue="1" maxValue="28" count="28">
        <n v="1"/>
        <n v="2"/>
        <n v="3"/>
        <n v="4"/>
        <n v="5"/>
        <n v="6"/>
        <n v="7"/>
        <n v="8"/>
        <n v="9"/>
        <n v="10"/>
        <n v="11"/>
        <n v="12"/>
        <n v="13"/>
        <n v="14"/>
        <n v="15"/>
        <n v="16"/>
        <n v="17"/>
        <n v="18"/>
        <n v="19"/>
        <n v="20"/>
        <n v="21"/>
        <n v="22"/>
        <n v="23"/>
        <n v="24"/>
        <n v="25"/>
        <n v="26"/>
        <n v="27"/>
        <n v="28"/>
      </sharedItems>
    </cacheField>
    <cacheField name="Name" numFmtId="0">
      <sharedItems count="26">
        <s v="John Smith"/>
        <s v="Jane Doe"/>
        <s v="Mike Tyson"/>
        <s v="Anna Belle"/>
        <s v="Chris P. Bacon"/>
        <s v="Peter Parker"/>
        <s v="Mary Jane"/>
        <s v="Bruce Wayne"/>
        <s v="Clark Kent"/>
        <s v="Diana Prince"/>
        <s v="Tony Stark"/>
        <s v="Steve Rogers"/>
        <s v="Natasha Romanoff"/>
        <s v="Bruce Banner"/>
        <s v="Nick Fury"/>
        <s v="Phil Coulson"/>
        <s v="Peggy Carter"/>
        <s v="Howard Stark"/>
        <s v="Hank Pym"/>
        <s v="Janet Van Dyne"/>
        <s v="Kurt Busiek"/>
        <s v="George Perez"/>
        <s v="Roger Stern"/>
        <s v="Tom Defalco"/>
        <s v="Loki Laufyeson"/>
        <s v="Thor Odinson"/>
      </sharedItems>
    </cacheField>
    <cacheField name="Region" numFmtId="0">
      <sharedItems count="6">
        <s v="North"/>
        <s v="East"/>
        <s v="West"/>
        <s v="South"/>
        <s v="Unknown"/>
        <s v="Asgard"/>
      </sharedItems>
    </cacheField>
    <cacheField name="Rating" numFmtId="0">
      <sharedItems count="8">
        <s v="Good"/>
        <s v="Excelent"/>
        <s v="Poor"/>
        <s v="Average"/>
        <s v="Mischief"/>
        <s v="Worthy"/>
        <s v="Spy"/>
        <s v="Leader"/>
      </sharedItems>
    </cacheField>
    <cacheField name="Product" numFmtId="0">
      <sharedItems count="28">
        <s v="Magic Wand"/>
        <s v="Unicorn Horn"/>
        <s v="Boxing Gloves"/>
        <s v="Fairy Dust"/>
        <s v="Bacon Scented Candle"/>
        <s v="Web Shooter"/>
        <s v="Potent Potion"/>
        <s v="Bat Signal"/>
        <s v="Glasses With X-Ray Vision"/>
        <s v="Lasso Of Truth"/>
        <s v="Iron Man Suit"/>
        <s v="Captain America Shield"/>
        <s v="Black Widow'S Bite"/>
        <s v="Gamma Radiation Serum"/>
        <s v="Eye Patch"/>
        <s v="Agent Id Card"/>
        <s v="Vintage Pistol"/>
        <s v="Arc Reactor"/>
        <s v="Ant-Man Suit"/>
        <s v="Wasp'S Wings"/>
        <s v="Comic Book"/>
        <s v="Drawing Pad"/>
        <s v="Notepads"/>
        <s v="Pen Set"/>
        <s v="Trickster'S Hat"/>
        <s v="Mjolnir"/>
        <s v="Spy Kit"/>
        <s v="Leadership Manual"/>
      </sharedItems>
    </cacheField>
    <cacheField name="Designation" numFmtId="0">
      <sharedItems count="17">
        <s v="Manager    "/>
        <s v="Analyst  "/>
        <s v="Trainer     "/>
        <s v="Consultant "/>
        <s v="Developer    "/>
        <s v="Photographer "/>
        <s v="CEO      "/>
        <s v="Reporter   "/>
        <s v="Engineer    "/>
        <s v="Leader "/>
        <s v="Spy      "/>
        <s v="Scientist   "/>
        <s v="Director    "/>
        <s v="Agent   "/>
        <s v="Inventor    "/>
        <s v="King   "/>
        <s v="God of Thunder    "/>
      </sharedItems>
    </cacheField>
    <cacheField name="Location" numFmtId="0">
      <sharedItems count="16">
        <s v=" Bangalore, Karnataka"/>
        <s v=" Mumbai, Maharashtra"/>
        <s v=" Chennai, Tamil Nadu"/>
        <s v=" Delhi, Delhi"/>
        <s v=" Hyderabad, Telangana"/>
        <s v=" New York, USA"/>
        <s v=" Gotham, New Jersey"/>
        <s v=" Metropolis, Illinois"/>
        <s v=" Malibu, California"/>
        <s v=" Brooklyn, New York"/>
        <s v=" Moscow, Russia"/>
        <s v=" Dayton, Ohio"/>
        <s v=" Los Angeles, California"/>
        <s v=" Washington, DC"/>
        <s v=" San Francisco, California"/>
        <s v=" Asgard, Realm Eternal"/>
      </sharedItems>
    </cacheField>
    <cacheField name="Quantity" numFmtId="0">
      <sharedItems containsSemiMixedTypes="0" containsString="0" containsNumber="1" containsInteger="1" minValue="0" maxValue="85" count="18">
        <n v="10"/>
        <n v="15"/>
        <n v="0"/>
        <n v="25"/>
        <n v="30"/>
        <n v="35"/>
        <n v="40"/>
        <n v="45"/>
        <n v="50"/>
        <n v="5"/>
        <n v="20"/>
        <n v="55"/>
        <n v="60"/>
        <n v="65"/>
        <n v="70"/>
        <n v="75"/>
        <n v="80"/>
        <n v="85"/>
      </sharedItems>
    </cacheField>
    <cacheField name="Price Per Unit" numFmtId="0">
      <sharedItems containsSemiMixedTypes="0" containsString="0" containsNumber="1" minValue="0" maxValue="160" count="20">
        <n v="20"/>
        <n v="10"/>
        <n v="0"/>
        <n v="16.670000000000002"/>
        <n v="15"/>
        <n v="12.22"/>
        <n v="14"/>
        <n v="160"/>
        <n v="45"/>
        <n v="36.67"/>
        <n v="34.29"/>
        <n v="35"/>
        <n v="33.33"/>
        <n v="32"/>
        <n v="30.91"/>
        <n v="30"/>
        <n v="30.77"/>
        <n v="29.33"/>
        <n v="28.75"/>
        <n v="29.41"/>
      </sharedItems>
    </cacheField>
    <cacheField name="Sales Revenue" numFmtId="0">
      <sharedItems containsSemiMixedTypes="0" containsString="0" containsNumber="1" minValue="0" maxValue="2499.85" count="23">
        <n v="200"/>
        <n v="150"/>
        <n v="0"/>
        <n v="250"/>
        <n v="500.1"/>
        <n v="350"/>
        <n v="600"/>
        <n v="549.9"/>
        <n v="700"/>
        <n v="800"/>
        <n v="900"/>
        <n v="1100.1000000000001"/>
        <n v="1200.1499999999999"/>
        <n v="1400"/>
        <n v="1499.85"/>
        <n v="1600"/>
        <n v="1700.05"/>
        <n v="1800"/>
        <n v="2000.05"/>
        <n v="2100"/>
        <n v="2199.75"/>
        <n v="2300"/>
        <n v="2499.85"/>
      </sharedItems>
    </cacheField>
    <cacheField name="Months (Date)" numFmtId="0" databaseField="0">
      <fieldGroup base="0">
        <rangePr groupBy="months" startDate="2021-01-31T00:00:00" endDate="2023-05-01T00:00:00"/>
        <groupItems count="14">
          <s v="&lt;31-01-2021"/>
          <s v="Jan"/>
          <s v="Feb"/>
          <s v="Mar"/>
          <s v="Apr"/>
          <s v="May"/>
          <s v="Jun"/>
          <s v="Jul"/>
          <s v="Aug"/>
          <s v="Sep"/>
          <s v="Oct"/>
          <s v="Nov"/>
          <s v="Dec"/>
          <s v="&gt;01-05-2023"/>
        </groupItems>
      </fieldGroup>
    </cacheField>
    <cacheField name="Quarters (Date)" numFmtId="0" databaseField="0">
      <fieldGroup base="0">
        <rangePr groupBy="quarters" startDate="2021-01-31T00:00:00" endDate="2023-05-01T00:00:00"/>
        <groupItems count="6">
          <s v="&lt;31-01-2021"/>
          <s v="Qtr1"/>
          <s v="Qtr2"/>
          <s v="Qtr3"/>
          <s v="Qtr4"/>
          <s v="&gt;01-05-2023"/>
        </groupItems>
      </fieldGroup>
    </cacheField>
    <cacheField name="Years (Date)" numFmtId="0" databaseField="0">
      <fieldGroup base="0">
        <rangePr groupBy="years" startDate="2021-01-31T00:00:00" endDate="2023-05-01T00:00:00"/>
        <groupItems count="5">
          <s v="&lt;31-01-2021"/>
          <s v="2021"/>
          <s v="2022"/>
          <s v="2023"/>
          <s v="&gt;01-05-2023"/>
        </groupItems>
      </fieldGroup>
    </cacheField>
  </cacheFields>
  <extLst>
    <ext xmlns:x14="http://schemas.microsoft.com/office/spreadsheetml/2009/9/main" uri="{725AE2AE-9491-48be-B2B4-4EB974FC3084}">
      <x14:pivotCacheDefinition pivotCacheId="489256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x v="0"/>
    <x v="0"/>
    <x v="0"/>
    <x v="0"/>
    <x v="0"/>
    <x v="0"/>
    <x v="0"/>
    <x v="0"/>
    <x v="0"/>
    <x v="0"/>
  </r>
  <r>
    <x v="1"/>
    <x v="1"/>
    <x v="1"/>
    <x v="1"/>
    <x v="1"/>
    <x v="1"/>
    <x v="1"/>
    <x v="1"/>
    <x v="1"/>
    <x v="1"/>
    <x v="1"/>
  </r>
  <r>
    <x v="2"/>
    <x v="2"/>
    <x v="2"/>
    <x v="2"/>
    <x v="2"/>
    <x v="2"/>
    <x v="2"/>
    <x v="2"/>
    <x v="2"/>
    <x v="2"/>
    <x v="2"/>
  </r>
  <r>
    <x v="3"/>
    <x v="3"/>
    <x v="3"/>
    <x v="3"/>
    <x v="3"/>
    <x v="3"/>
    <x v="3"/>
    <x v="3"/>
    <x v="3"/>
    <x v="1"/>
    <x v="3"/>
  </r>
  <r>
    <x v="4"/>
    <x v="4"/>
    <x v="4"/>
    <x v="1"/>
    <x v="0"/>
    <x v="4"/>
    <x v="4"/>
    <x v="4"/>
    <x v="4"/>
    <x v="3"/>
    <x v="4"/>
  </r>
  <r>
    <x v="5"/>
    <x v="5"/>
    <x v="5"/>
    <x v="4"/>
    <x v="1"/>
    <x v="5"/>
    <x v="5"/>
    <x v="5"/>
    <x v="2"/>
    <x v="2"/>
    <x v="2"/>
  </r>
  <r>
    <x v="6"/>
    <x v="6"/>
    <x v="6"/>
    <x v="2"/>
    <x v="2"/>
    <x v="6"/>
    <x v="6"/>
    <x v="6"/>
    <x v="5"/>
    <x v="1"/>
    <x v="5"/>
  </r>
  <r>
    <x v="7"/>
    <x v="7"/>
    <x v="7"/>
    <x v="3"/>
    <x v="3"/>
    <x v="7"/>
    <x v="7"/>
    <x v="7"/>
    <x v="6"/>
    <x v="4"/>
    <x v="6"/>
  </r>
  <r>
    <x v="8"/>
    <x v="8"/>
    <x v="8"/>
    <x v="1"/>
    <x v="0"/>
    <x v="8"/>
    <x v="8"/>
    <x v="8"/>
    <x v="7"/>
    <x v="5"/>
    <x v="7"/>
  </r>
  <r>
    <x v="9"/>
    <x v="9"/>
    <x v="9"/>
    <x v="0"/>
    <x v="1"/>
    <x v="9"/>
    <x v="9"/>
    <x v="9"/>
    <x v="8"/>
    <x v="6"/>
    <x v="8"/>
  </r>
  <r>
    <x v="10"/>
    <x v="10"/>
    <x v="10"/>
    <x v="2"/>
    <x v="2"/>
    <x v="10"/>
    <x v="10"/>
    <x v="10"/>
    <x v="9"/>
    <x v="7"/>
    <x v="9"/>
  </r>
  <r>
    <x v="11"/>
    <x v="11"/>
    <x v="11"/>
    <x v="3"/>
    <x v="3"/>
    <x v="11"/>
    <x v="11"/>
    <x v="11"/>
    <x v="10"/>
    <x v="8"/>
    <x v="10"/>
  </r>
  <r>
    <x v="12"/>
    <x v="12"/>
    <x v="12"/>
    <x v="1"/>
    <x v="0"/>
    <x v="12"/>
    <x v="12"/>
    <x v="12"/>
    <x v="2"/>
    <x v="2"/>
    <x v="2"/>
  </r>
  <r>
    <x v="13"/>
    <x v="13"/>
    <x v="13"/>
    <x v="4"/>
    <x v="1"/>
    <x v="13"/>
    <x v="13"/>
    <x v="13"/>
    <x v="4"/>
    <x v="9"/>
    <x v="11"/>
  </r>
  <r>
    <x v="3"/>
    <x v="3"/>
    <x v="3"/>
    <x v="3"/>
    <x v="3"/>
    <x v="3"/>
    <x v="14"/>
    <x v="14"/>
    <x v="3"/>
    <x v="1"/>
    <x v="3"/>
  </r>
  <r>
    <x v="4"/>
    <x v="4"/>
    <x v="4"/>
    <x v="1"/>
    <x v="0"/>
    <x v="4"/>
    <x v="15"/>
    <x v="15"/>
    <x v="4"/>
    <x v="3"/>
    <x v="4"/>
  </r>
  <r>
    <x v="5"/>
    <x v="5"/>
    <x v="5"/>
    <x v="4"/>
    <x v="1"/>
    <x v="5"/>
    <x v="16"/>
    <x v="15"/>
    <x v="2"/>
    <x v="2"/>
    <x v="2"/>
  </r>
  <r>
    <x v="14"/>
    <x v="14"/>
    <x v="14"/>
    <x v="2"/>
    <x v="2"/>
    <x v="14"/>
    <x v="0"/>
    <x v="0"/>
    <x v="5"/>
    <x v="10"/>
    <x v="12"/>
  </r>
  <r>
    <x v="15"/>
    <x v="15"/>
    <x v="15"/>
    <x v="4"/>
    <x v="3"/>
    <x v="15"/>
    <x v="1"/>
    <x v="1"/>
    <x v="2"/>
    <x v="2"/>
    <x v="2"/>
  </r>
  <r>
    <x v="16"/>
    <x v="16"/>
    <x v="16"/>
    <x v="1"/>
    <x v="0"/>
    <x v="16"/>
    <x v="2"/>
    <x v="2"/>
    <x v="6"/>
    <x v="11"/>
    <x v="13"/>
  </r>
  <r>
    <x v="17"/>
    <x v="17"/>
    <x v="17"/>
    <x v="0"/>
    <x v="1"/>
    <x v="17"/>
    <x v="3"/>
    <x v="3"/>
    <x v="7"/>
    <x v="12"/>
    <x v="14"/>
  </r>
  <r>
    <x v="18"/>
    <x v="18"/>
    <x v="18"/>
    <x v="2"/>
    <x v="2"/>
    <x v="18"/>
    <x v="4"/>
    <x v="4"/>
    <x v="8"/>
    <x v="13"/>
    <x v="15"/>
  </r>
  <r>
    <x v="19"/>
    <x v="19"/>
    <x v="19"/>
    <x v="3"/>
    <x v="3"/>
    <x v="19"/>
    <x v="5"/>
    <x v="5"/>
    <x v="11"/>
    <x v="14"/>
    <x v="16"/>
  </r>
  <r>
    <x v="20"/>
    <x v="20"/>
    <x v="20"/>
    <x v="1"/>
    <x v="0"/>
    <x v="20"/>
    <x v="6"/>
    <x v="6"/>
    <x v="12"/>
    <x v="15"/>
    <x v="17"/>
  </r>
  <r>
    <x v="21"/>
    <x v="21"/>
    <x v="21"/>
    <x v="0"/>
    <x v="1"/>
    <x v="21"/>
    <x v="7"/>
    <x v="7"/>
    <x v="2"/>
    <x v="2"/>
    <x v="2"/>
  </r>
  <r>
    <x v="22"/>
    <x v="22"/>
    <x v="22"/>
    <x v="2"/>
    <x v="2"/>
    <x v="22"/>
    <x v="8"/>
    <x v="8"/>
    <x v="13"/>
    <x v="16"/>
    <x v="18"/>
  </r>
  <r>
    <x v="23"/>
    <x v="23"/>
    <x v="23"/>
    <x v="3"/>
    <x v="3"/>
    <x v="23"/>
    <x v="9"/>
    <x v="9"/>
    <x v="14"/>
    <x v="15"/>
    <x v="19"/>
  </r>
  <r>
    <x v="24"/>
    <x v="24"/>
    <x v="24"/>
    <x v="5"/>
    <x v="4"/>
    <x v="24"/>
    <x v="10"/>
    <x v="10"/>
    <x v="15"/>
    <x v="17"/>
    <x v="20"/>
  </r>
  <r>
    <x v="25"/>
    <x v="25"/>
    <x v="25"/>
    <x v="5"/>
    <x v="5"/>
    <x v="25"/>
    <x v="11"/>
    <x v="11"/>
    <x v="16"/>
    <x v="18"/>
    <x v="21"/>
  </r>
  <r>
    <x v="26"/>
    <x v="26"/>
    <x v="12"/>
    <x v="1"/>
    <x v="6"/>
    <x v="26"/>
    <x v="12"/>
    <x v="12"/>
    <x v="2"/>
    <x v="2"/>
    <x v="2"/>
  </r>
  <r>
    <x v="27"/>
    <x v="27"/>
    <x v="11"/>
    <x v="3"/>
    <x v="7"/>
    <x v="27"/>
    <x v="13"/>
    <x v="13"/>
    <x v="17"/>
    <x v="19"/>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F0C068-7DB3-4BFF-A7CB-21F9FEF2AD34}"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40:G44" firstHeaderRow="1" firstDataRow="1" firstDataCol="1"/>
  <pivotFields count="14">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3"/>
    <field x="12"/>
    <field x="11"/>
    <field x="0"/>
  </rowFields>
  <rowItems count="4">
    <i>
      <x v="1"/>
    </i>
    <i>
      <x v="2"/>
    </i>
    <i>
      <x v="3"/>
    </i>
    <i t="grand">
      <x/>
    </i>
  </rowItems>
  <colItems count="1">
    <i/>
  </colItems>
  <dataFields count="1">
    <dataField name="Sum of Sales Revenue"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7F5045-5964-4306-9231-D49A1FB432DB}"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32"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sortType="descending">
      <items count="29">
        <item x="0"/>
        <item x="1"/>
        <item x="2"/>
        <item x="3"/>
        <item x="4"/>
        <item x="5"/>
        <item x="6"/>
        <item x="7"/>
        <item x="8"/>
        <item x="9"/>
        <item x="10"/>
        <item x="11"/>
        <item x="12"/>
        <item x="13"/>
        <item x="14"/>
        <item x="15"/>
        <item x="16"/>
        <item x="17"/>
        <item x="18"/>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axis="axisRow" showAll="0" sortType="descending">
      <items count="27">
        <item x="3"/>
        <item x="13"/>
        <item x="7"/>
        <item x="4"/>
        <item x="8"/>
        <item x="9"/>
        <item x="21"/>
        <item x="18"/>
        <item x="17"/>
        <item x="1"/>
        <item x="19"/>
        <item x="0"/>
        <item x="20"/>
        <item x="24"/>
        <item x="6"/>
        <item x="2"/>
        <item x="12"/>
        <item x="14"/>
        <item x="16"/>
        <item x="5"/>
        <item x="15"/>
        <item x="22"/>
        <item x="11"/>
        <item x="25"/>
        <item x="23"/>
        <item x="10"/>
        <item t="default"/>
      </items>
      <autoSortScope>
        <pivotArea dataOnly="0" outline="0" fieldPosition="0">
          <references count="1">
            <reference field="4294967294" count="1" selected="0">
              <x v="0"/>
            </reference>
          </references>
        </pivotArea>
      </autoSortScope>
    </pivotField>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7">
    <i>
      <x v="22"/>
    </i>
    <i>
      <x v="23"/>
    </i>
    <i>
      <x v="13"/>
    </i>
    <i>
      <x v="24"/>
    </i>
    <i>
      <x v="21"/>
    </i>
    <i>
      <x v="12"/>
    </i>
    <i>
      <x v="10"/>
    </i>
    <i>
      <x v="7"/>
    </i>
    <i>
      <x v="8"/>
    </i>
    <i>
      <x v="18"/>
    </i>
    <i>
      <x v="17"/>
    </i>
    <i>
      <x v="1"/>
    </i>
    <i>
      <x v="3"/>
    </i>
    <i>
      <x v="25"/>
    </i>
    <i>
      <x v="5"/>
    </i>
    <i>
      <x v="2"/>
    </i>
    <i>
      <x v="4"/>
    </i>
    <i>
      <x/>
    </i>
    <i>
      <x v="14"/>
    </i>
    <i>
      <x v="11"/>
    </i>
    <i>
      <x v="9"/>
    </i>
    <i>
      <x v="19"/>
    </i>
    <i>
      <x v="20"/>
    </i>
    <i>
      <x v="16"/>
    </i>
    <i>
      <x v="6"/>
    </i>
    <i>
      <x v="15"/>
    </i>
    <i t="grand">
      <x/>
    </i>
  </rowItems>
  <colItems count="1">
    <i/>
  </colItems>
  <dataFields count="1">
    <dataField name="Sum of Sales Revenue"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77100-8378-4425-A44E-18F30DFBF7FF}"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5:R13" firstHeaderRow="1" firstDataRow="2"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sortType="descending">
      <items count="7">
        <item x="5"/>
        <item x="1"/>
        <item x="0"/>
        <item x="3"/>
        <item x="4"/>
        <item x="2"/>
        <item t="default"/>
      </items>
      <autoSortScope>
        <pivotArea dataOnly="0" outline="0" fieldPosition="0">
          <references count="1">
            <reference field="4294967294" count="1" selected="0">
              <x v="0"/>
            </reference>
          </references>
        </pivotArea>
      </autoSortScope>
    </pivotField>
    <pivotField axis="axisCol" dataField="1"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v="1"/>
    </i>
    <i>
      <x v="3"/>
    </i>
    <i>
      <x v="5"/>
    </i>
    <i>
      <x v="4"/>
    </i>
    <i>
      <x v="2"/>
    </i>
    <i>
      <x/>
    </i>
    <i t="grand">
      <x/>
    </i>
  </rowItems>
  <colFields count="1">
    <field x="4"/>
  </colFields>
  <colItems count="9">
    <i>
      <x/>
    </i>
    <i>
      <x v="1"/>
    </i>
    <i>
      <x v="2"/>
    </i>
    <i>
      <x v="3"/>
    </i>
    <i>
      <x v="4"/>
    </i>
    <i>
      <x v="5"/>
    </i>
    <i>
      <x v="6"/>
    </i>
    <i>
      <x v="7"/>
    </i>
    <i t="grand">
      <x/>
    </i>
  </colItems>
  <dataFields count="1">
    <dataField name="Count of Rating" fld="4" subtotal="count" baseField="0" baseItem="0"/>
  </dataFields>
  <chartFormats count="2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6" format="16" series="1">
      <pivotArea type="data" outline="0" fieldPosition="0">
        <references count="2">
          <reference field="4294967294" count="1" selected="0">
            <x v="0"/>
          </reference>
          <reference field="4" count="1" selected="0">
            <x v="0"/>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 chart="6" format="18" series="1">
      <pivotArea type="data" outline="0" fieldPosition="0">
        <references count="2">
          <reference field="4294967294" count="1" selected="0">
            <x v="0"/>
          </reference>
          <reference field="4" count="1" selected="0">
            <x v="2"/>
          </reference>
        </references>
      </pivotArea>
    </chartFormat>
    <chartFormat chart="6" format="19" series="1">
      <pivotArea type="data" outline="0" fieldPosition="0">
        <references count="2">
          <reference field="4294967294" count="1" selected="0">
            <x v="0"/>
          </reference>
          <reference field="4" count="1" selected="0">
            <x v="3"/>
          </reference>
        </references>
      </pivotArea>
    </chartFormat>
    <chartFormat chart="6" format="20" series="1">
      <pivotArea type="data" outline="0" fieldPosition="0">
        <references count="2">
          <reference field="4294967294" count="1" selected="0">
            <x v="0"/>
          </reference>
          <reference field="4" count="1" selected="0">
            <x v="4"/>
          </reference>
        </references>
      </pivotArea>
    </chartFormat>
    <chartFormat chart="6" format="21" series="1">
      <pivotArea type="data" outline="0" fieldPosition="0">
        <references count="2">
          <reference field="4294967294" count="1" selected="0">
            <x v="0"/>
          </reference>
          <reference field="4" count="1" selected="0">
            <x v="5"/>
          </reference>
        </references>
      </pivotArea>
    </chartFormat>
    <chartFormat chart="6" format="22" series="1">
      <pivotArea type="data" outline="0" fieldPosition="0">
        <references count="2">
          <reference field="4294967294" count="1" selected="0">
            <x v="0"/>
          </reference>
          <reference field="4" count="1" selected="0">
            <x v="6"/>
          </reference>
        </references>
      </pivotArea>
    </chartFormat>
    <chartFormat chart="6" format="23" series="1">
      <pivotArea type="data" outline="0" fieldPosition="0">
        <references count="2">
          <reference field="4294967294" count="1" selected="0">
            <x v="0"/>
          </reference>
          <reference field="4" count="1" selected="0">
            <x v="7"/>
          </reference>
        </references>
      </pivotArea>
    </chartFormat>
    <chartFormat chart="8" format="16" series="1">
      <pivotArea type="data" outline="0" fieldPosition="0">
        <references count="2">
          <reference field="4294967294" count="1" selected="0">
            <x v="0"/>
          </reference>
          <reference field="4" count="1" selected="0">
            <x v="0"/>
          </reference>
        </references>
      </pivotArea>
    </chartFormat>
    <chartFormat chart="8" format="17" series="1">
      <pivotArea type="data" outline="0" fieldPosition="0">
        <references count="2">
          <reference field="4294967294" count="1" selected="0">
            <x v="0"/>
          </reference>
          <reference field="4" count="1" selected="0">
            <x v="1"/>
          </reference>
        </references>
      </pivotArea>
    </chartFormat>
    <chartFormat chart="8" format="18" series="1">
      <pivotArea type="data" outline="0" fieldPosition="0">
        <references count="2">
          <reference field="4294967294" count="1" selected="0">
            <x v="0"/>
          </reference>
          <reference field="4" count="1" selected="0">
            <x v="2"/>
          </reference>
        </references>
      </pivotArea>
    </chartFormat>
    <chartFormat chart="8" format="19" series="1">
      <pivotArea type="data" outline="0" fieldPosition="0">
        <references count="2">
          <reference field="4294967294" count="1" selected="0">
            <x v="0"/>
          </reference>
          <reference field="4" count="1" selected="0">
            <x v="3"/>
          </reference>
        </references>
      </pivotArea>
    </chartFormat>
    <chartFormat chart="8" format="20" series="1">
      <pivotArea type="data" outline="0" fieldPosition="0">
        <references count="2">
          <reference field="4294967294" count="1" selected="0">
            <x v="0"/>
          </reference>
          <reference field="4" count="1" selected="0">
            <x v="4"/>
          </reference>
        </references>
      </pivotArea>
    </chartFormat>
    <chartFormat chart="8" format="21" series="1">
      <pivotArea type="data" outline="0" fieldPosition="0">
        <references count="2">
          <reference field="4294967294" count="1" selected="0">
            <x v="0"/>
          </reference>
          <reference field="4" count="1" selected="0">
            <x v="5"/>
          </reference>
        </references>
      </pivotArea>
    </chartFormat>
    <chartFormat chart="8" format="22" series="1">
      <pivotArea type="data" outline="0" fieldPosition="0">
        <references count="2">
          <reference field="4294967294" count="1" selected="0">
            <x v="0"/>
          </reference>
          <reference field="4" count="1" selected="0">
            <x v="6"/>
          </reference>
        </references>
      </pivotArea>
    </chartFormat>
    <chartFormat chart="8" format="23"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D7CE9A-A942-4941-AAB3-24E17AF7C624}"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5:G34"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7">
        <item x="5"/>
        <item x="1"/>
        <item x="0"/>
        <item x="3"/>
        <item x="4"/>
        <item x="2"/>
        <item t="default"/>
      </items>
    </pivotField>
    <pivotField showAll="0">
      <items count="9">
        <item x="3"/>
        <item x="1"/>
        <item x="0"/>
        <item x="7"/>
        <item x="4"/>
        <item x="2"/>
        <item x="6"/>
        <item x="5"/>
        <item t="default"/>
      </items>
    </pivotField>
    <pivotField axis="axisRow" showAll="0" sortType="descending">
      <items count="29">
        <item x="15"/>
        <item x="18"/>
        <item x="17"/>
        <item x="4"/>
        <item x="7"/>
        <item x="12"/>
        <item x="2"/>
        <item x="11"/>
        <item x="20"/>
        <item x="21"/>
        <item x="14"/>
        <item x="3"/>
        <item x="13"/>
        <item x="8"/>
        <item x="10"/>
        <item x="9"/>
        <item x="27"/>
        <item x="0"/>
        <item x="25"/>
        <item x="22"/>
        <item x="23"/>
        <item x="6"/>
        <item x="26"/>
        <item x="24"/>
        <item x="1"/>
        <item x="16"/>
        <item x="19"/>
        <item x="5"/>
        <item t="default"/>
      </items>
      <autoSortScope>
        <pivotArea dataOnly="0" outline="0" fieldPosition="0">
          <references count="1">
            <reference field="4294967294" count="1" selected="0">
              <x v="0"/>
            </reference>
          </references>
        </pivotArea>
      </autoSortScope>
    </pivotField>
    <pivotField showAll="0">
      <items count="18">
        <item x="13"/>
        <item x="1"/>
        <item x="6"/>
        <item x="3"/>
        <item x="4"/>
        <item x="12"/>
        <item x="8"/>
        <item x="16"/>
        <item x="14"/>
        <item x="15"/>
        <item x="9"/>
        <item x="0"/>
        <item x="5"/>
        <item x="7"/>
        <item x="11"/>
        <item x="10"/>
        <item x="2"/>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9">
    <i>
      <x v="16"/>
    </i>
    <i>
      <x v="18"/>
    </i>
    <i>
      <x v="23"/>
    </i>
    <i>
      <x v="20"/>
    </i>
    <i>
      <x v="19"/>
    </i>
    <i>
      <x v="8"/>
    </i>
    <i>
      <x v="3"/>
    </i>
    <i>
      <x v="26"/>
    </i>
    <i>
      <x v="15"/>
    </i>
    <i>
      <x v="1"/>
    </i>
    <i>
      <x v="11"/>
    </i>
    <i>
      <x v="2"/>
    </i>
    <i>
      <x v="13"/>
    </i>
    <i>
      <x v="25"/>
    </i>
    <i>
      <x v="4"/>
    </i>
    <i>
      <x v="21"/>
    </i>
    <i>
      <x v="10"/>
    </i>
    <i>
      <x v="12"/>
    </i>
    <i>
      <x v="7"/>
    </i>
    <i>
      <x v="24"/>
    </i>
    <i>
      <x v="17"/>
    </i>
    <i>
      <x v="14"/>
    </i>
    <i>
      <x v="5"/>
    </i>
    <i>
      <x v="9"/>
    </i>
    <i>
      <x/>
    </i>
    <i>
      <x v="27"/>
    </i>
    <i>
      <x v="6"/>
    </i>
    <i>
      <x v="22"/>
    </i>
    <i t="grand">
      <x/>
    </i>
  </rowItems>
  <colItems count="1">
    <i/>
  </colItems>
  <dataFields count="1">
    <dataField name="Sum of Quantity" fld="8" baseField="0" baseItem="0"/>
  </dataFields>
  <chartFormats count="59">
    <chartFormat chart="0" format="0"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5" count="1" selected="0">
            <x v="16"/>
          </reference>
        </references>
      </pivotArea>
    </chartFormat>
    <chartFormat chart="6" format="32">
      <pivotArea type="data" outline="0" fieldPosition="0">
        <references count="2">
          <reference field="4294967294" count="1" selected="0">
            <x v="0"/>
          </reference>
          <reference field="5" count="1" selected="0">
            <x v="18"/>
          </reference>
        </references>
      </pivotArea>
    </chartFormat>
    <chartFormat chart="6" format="33">
      <pivotArea type="data" outline="0" fieldPosition="0">
        <references count="2">
          <reference field="4294967294" count="1" selected="0">
            <x v="0"/>
          </reference>
          <reference field="5" count="1" selected="0">
            <x v="23"/>
          </reference>
        </references>
      </pivotArea>
    </chartFormat>
    <chartFormat chart="6" format="34">
      <pivotArea type="data" outline="0" fieldPosition="0">
        <references count="2">
          <reference field="4294967294" count="1" selected="0">
            <x v="0"/>
          </reference>
          <reference field="5" count="1" selected="0">
            <x v="20"/>
          </reference>
        </references>
      </pivotArea>
    </chartFormat>
    <chartFormat chart="6" format="35">
      <pivotArea type="data" outline="0" fieldPosition="0">
        <references count="2">
          <reference field="4294967294" count="1" selected="0">
            <x v="0"/>
          </reference>
          <reference field="5" count="1" selected="0">
            <x v="19"/>
          </reference>
        </references>
      </pivotArea>
    </chartFormat>
    <chartFormat chart="6" format="36">
      <pivotArea type="data" outline="0" fieldPosition="0">
        <references count="2">
          <reference field="4294967294" count="1" selected="0">
            <x v="0"/>
          </reference>
          <reference field="5" count="1" selected="0">
            <x v="8"/>
          </reference>
        </references>
      </pivotArea>
    </chartFormat>
    <chartFormat chart="6" format="37">
      <pivotArea type="data" outline="0" fieldPosition="0">
        <references count="2">
          <reference field="4294967294" count="1" selected="0">
            <x v="0"/>
          </reference>
          <reference field="5" count="1" selected="0">
            <x v="3"/>
          </reference>
        </references>
      </pivotArea>
    </chartFormat>
    <chartFormat chart="6" format="38">
      <pivotArea type="data" outline="0" fieldPosition="0">
        <references count="2">
          <reference field="4294967294" count="1" selected="0">
            <x v="0"/>
          </reference>
          <reference field="5" count="1" selected="0">
            <x v="26"/>
          </reference>
        </references>
      </pivotArea>
    </chartFormat>
    <chartFormat chart="6" format="39">
      <pivotArea type="data" outline="0" fieldPosition="0">
        <references count="2">
          <reference field="4294967294" count="1" selected="0">
            <x v="0"/>
          </reference>
          <reference field="5" count="1" selected="0">
            <x v="15"/>
          </reference>
        </references>
      </pivotArea>
    </chartFormat>
    <chartFormat chart="6" format="40">
      <pivotArea type="data" outline="0" fieldPosition="0">
        <references count="2">
          <reference field="4294967294" count="1" selected="0">
            <x v="0"/>
          </reference>
          <reference field="5" count="1" selected="0">
            <x v="1"/>
          </reference>
        </references>
      </pivotArea>
    </chartFormat>
    <chartFormat chart="6" format="41">
      <pivotArea type="data" outline="0" fieldPosition="0">
        <references count="2">
          <reference field="4294967294" count="1" selected="0">
            <x v="0"/>
          </reference>
          <reference field="5" count="1" selected="0">
            <x v="11"/>
          </reference>
        </references>
      </pivotArea>
    </chartFormat>
    <chartFormat chart="6" format="42">
      <pivotArea type="data" outline="0" fieldPosition="0">
        <references count="2">
          <reference field="4294967294" count="1" selected="0">
            <x v="0"/>
          </reference>
          <reference field="5" count="1" selected="0">
            <x v="2"/>
          </reference>
        </references>
      </pivotArea>
    </chartFormat>
    <chartFormat chart="6" format="43">
      <pivotArea type="data" outline="0" fieldPosition="0">
        <references count="2">
          <reference field="4294967294" count="1" selected="0">
            <x v="0"/>
          </reference>
          <reference field="5" count="1" selected="0">
            <x v="13"/>
          </reference>
        </references>
      </pivotArea>
    </chartFormat>
    <chartFormat chart="6" format="44">
      <pivotArea type="data" outline="0" fieldPosition="0">
        <references count="2">
          <reference field="4294967294" count="1" selected="0">
            <x v="0"/>
          </reference>
          <reference field="5" count="1" selected="0">
            <x v="25"/>
          </reference>
        </references>
      </pivotArea>
    </chartFormat>
    <chartFormat chart="6" format="45">
      <pivotArea type="data" outline="0" fieldPosition="0">
        <references count="2">
          <reference field="4294967294" count="1" selected="0">
            <x v="0"/>
          </reference>
          <reference field="5" count="1" selected="0">
            <x v="4"/>
          </reference>
        </references>
      </pivotArea>
    </chartFormat>
    <chartFormat chart="6" format="46">
      <pivotArea type="data" outline="0" fieldPosition="0">
        <references count="2">
          <reference field="4294967294" count="1" selected="0">
            <x v="0"/>
          </reference>
          <reference field="5" count="1" selected="0">
            <x v="21"/>
          </reference>
        </references>
      </pivotArea>
    </chartFormat>
    <chartFormat chart="6" format="47">
      <pivotArea type="data" outline="0" fieldPosition="0">
        <references count="2">
          <reference field="4294967294" count="1" selected="0">
            <x v="0"/>
          </reference>
          <reference field="5" count="1" selected="0">
            <x v="10"/>
          </reference>
        </references>
      </pivotArea>
    </chartFormat>
    <chartFormat chart="6" format="48">
      <pivotArea type="data" outline="0" fieldPosition="0">
        <references count="2">
          <reference field="4294967294" count="1" selected="0">
            <x v="0"/>
          </reference>
          <reference field="5" count="1" selected="0">
            <x v="12"/>
          </reference>
        </references>
      </pivotArea>
    </chartFormat>
    <chartFormat chart="6" format="49">
      <pivotArea type="data" outline="0" fieldPosition="0">
        <references count="2">
          <reference field="4294967294" count="1" selected="0">
            <x v="0"/>
          </reference>
          <reference field="5" count="1" selected="0">
            <x v="7"/>
          </reference>
        </references>
      </pivotArea>
    </chartFormat>
    <chartFormat chart="6" format="50">
      <pivotArea type="data" outline="0" fieldPosition="0">
        <references count="2">
          <reference field="4294967294" count="1" selected="0">
            <x v="0"/>
          </reference>
          <reference field="5" count="1" selected="0">
            <x v="24"/>
          </reference>
        </references>
      </pivotArea>
    </chartFormat>
    <chartFormat chart="6" format="51">
      <pivotArea type="data" outline="0" fieldPosition="0">
        <references count="2">
          <reference field="4294967294" count="1" selected="0">
            <x v="0"/>
          </reference>
          <reference field="5" count="1" selected="0">
            <x v="17"/>
          </reference>
        </references>
      </pivotArea>
    </chartFormat>
    <chartFormat chart="6" format="52">
      <pivotArea type="data" outline="0" fieldPosition="0">
        <references count="2">
          <reference field="4294967294" count="1" selected="0">
            <x v="0"/>
          </reference>
          <reference field="5" count="1" selected="0">
            <x v="14"/>
          </reference>
        </references>
      </pivotArea>
    </chartFormat>
    <chartFormat chart="6" format="53">
      <pivotArea type="data" outline="0" fieldPosition="0">
        <references count="2">
          <reference field="4294967294" count="1" selected="0">
            <x v="0"/>
          </reference>
          <reference field="5" count="1" selected="0">
            <x v="5"/>
          </reference>
        </references>
      </pivotArea>
    </chartFormat>
    <chartFormat chart="6" format="54">
      <pivotArea type="data" outline="0" fieldPosition="0">
        <references count="2">
          <reference field="4294967294" count="1" selected="0">
            <x v="0"/>
          </reference>
          <reference field="5" count="1" selected="0">
            <x v="9"/>
          </reference>
        </references>
      </pivotArea>
    </chartFormat>
    <chartFormat chart="6" format="55">
      <pivotArea type="data" outline="0" fieldPosition="0">
        <references count="2">
          <reference field="4294967294" count="1" selected="0">
            <x v="0"/>
          </reference>
          <reference field="5" count="1" selected="0">
            <x v="0"/>
          </reference>
        </references>
      </pivotArea>
    </chartFormat>
    <chartFormat chart="6" format="56">
      <pivotArea type="data" outline="0" fieldPosition="0">
        <references count="2">
          <reference field="4294967294" count="1" selected="0">
            <x v="0"/>
          </reference>
          <reference field="5" count="1" selected="0">
            <x v="27"/>
          </reference>
        </references>
      </pivotArea>
    </chartFormat>
    <chartFormat chart="6" format="57">
      <pivotArea type="data" outline="0" fieldPosition="0">
        <references count="2">
          <reference field="4294967294" count="1" selected="0">
            <x v="0"/>
          </reference>
          <reference field="5" count="1" selected="0">
            <x v="6"/>
          </reference>
        </references>
      </pivotArea>
    </chartFormat>
    <chartFormat chart="6" format="58">
      <pivotArea type="data" outline="0" fieldPosition="0">
        <references count="2">
          <reference field="4294967294" count="1" selected="0">
            <x v="0"/>
          </reference>
          <reference field="5" count="1" selected="0">
            <x v="22"/>
          </reference>
        </references>
      </pivotArea>
    </chartFormat>
    <chartFormat chart="8" format="30" series="1">
      <pivotArea type="data" outline="0" fieldPosition="0">
        <references count="1">
          <reference field="4294967294" count="1" selected="0">
            <x v="0"/>
          </reference>
        </references>
      </pivotArea>
    </chartFormat>
    <chartFormat chart="8" format="31">
      <pivotArea type="data" outline="0" fieldPosition="0">
        <references count="2">
          <reference field="4294967294" count="1" selected="0">
            <x v="0"/>
          </reference>
          <reference field="5" count="1" selected="0">
            <x v="16"/>
          </reference>
        </references>
      </pivotArea>
    </chartFormat>
    <chartFormat chart="8" format="32">
      <pivotArea type="data" outline="0" fieldPosition="0">
        <references count="2">
          <reference field="4294967294" count="1" selected="0">
            <x v="0"/>
          </reference>
          <reference field="5" count="1" selected="0">
            <x v="18"/>
          </reference>
        </references>
      </pivotArea>
    </chartFormat>
    <chartFormat chart="8" format="33">
      <pivotArea type="data" outline="0" fieldPosition="0">
        <references count="2">
          <reference field="4294967294" count="1" selected="0">
            <x v="0"/>
          </reference>
          <reference field="5" count="1" selected="0">
            <x v="23"/>
          </reference>
        </references>
      </pivotArea>
    </chartFormat>
    <chartFormat chart="8" format="34">
      <pivotArea type="data" outline="0" fieldPosition="0">
        <references count="2">
          <reference field="4294967294" count="1" selected="0">
            <x v="0"/>
          </reference>
          <reference field="5" count="1" selected="0">
            <x v="20"/>
          </reference>
        </references>
      </pivotArea>
    </chartFormat>
    <chartFormat chart="8" format="35">
      <pivotArea type="data" outline="0" fieldPosition="0">
        <references count="2">
          <reference field="4294967294" count="1" selected="0">
            <x v="0"/>
          </reference>
          <reference field="5" count="1" selected="0">
            <x v="19"/>
          </reference>
        </references>
      </pivotArea>
    </chartFormat>
    <chartFormat chart="8" format="36">
      <pivotArea type="data" outline="0" fieldPosition="0">
        <references count="2">
          <reference field="4294967294" count="1" selected="0">
            <x v="0"/>
          </reference>
          <reference field="5" count="1" selected="0">
            <x v="8"/>
          </reference>
        </references>
      </pivotArea>
    </chartFormat>
    <chartFormat chart="8" format="37">
      <pivotArea type="data" outline="0" fieldPosition="0">
        <references count="2">
          <reference field="4294967294" count="1" selected="0">
            <x v="0"/>
          </reference>
          <reference field="5" count="1" selected="0">
            <x v="3"/>
          </reference>
        </references>
      </pivotArea>
    </chartFormat>
    <chartFormat chart="8" format="38">
      <pivotArea type="data" outline="0" fieldPosition="0">
        <references count="2">
          <reference field="4294967294" count="1" selected="0">
            <x v="0"/>
          </reference>
          <reference field="5" count="1" selected="0">
            <x v="26"/>
          </reference>
        </references>
      </pivotArea>
    </chartFormat>
    <chartFormat chart="8" format="39">
      <pivotArea type="data" outline="0" fieldPosition="0">
        <references count="2">
          <reference field="4294967294" count="1" selected="0">
            <x v="0"/>
          </reference>
          <reference field="5" count="1" selected="0">
            <x v="15"/>
          </reference>
        </references>
      </pivotArea>
    </chartFormat>
    <chartFormat chart="8" format="40">
      <pivotArea type="data" outline="0" fieldPosition="0">
        <references count="2">
          <reference field="4294967294" count="1" selected="0">
            <x v="0"/>
          </reference>
          <reference field="5" count="1" selected="0">
            <x v="1"/>
          </reference>
        </references>
      </pivotArea>
    </chartFormat>
    <chartFormat chart="8" format="41">
      <pivotArea type="data" outline="0" fieldPosition="0">
        <references count="2">
          <reference field="4294967294" count="1" selected="0">
            <x v="0"/>
          </reference>
          <reference field="5" count="1" selected="0">
            <x v="11"/>
          </reference>
        </references>
      </pivotArea>
    </chartFormat>
    <chartFormat chart="8" format="42">
      <pivotArea type="data" outline="0" fieldPosition="0">
        <references count="2">
          <reference field="4294967294" count="1" selected="0">
            <x v="0"/>
          </reference>
          <reference field="5" count="1" selected="0">
            <x v="2"/>
          </reference>
        </references>
      </pivotArea>
    </chartFormat>
    <chartFormat chart="8" format="43">
      <pivotArea type="data" outline="0" fieldPosition="0">
        <references count="2">
          <reference field="4294967294" count="1" selected="0">
            <x v="0"/>
          </reference>
          <reference field="5" count="1" selected="0">
            <x v="13"/>
          </reference>
        </references>
      </pivotArea>
    </chartFormat>
    <chartFormat chart="8" format="44">
      <pivotArea type="data" outline="0" fieldPosition="0">
        <references count="2">
          <reference field="4294967294" count="1" selected="0">
            <x v="0"/>
          </reference>
          <reference field="5" count="1" selected="0">
            <x v="25"/>
          </reference>
        </references>
      </pivotArea>
    </chartFormat>
    <chartFormat chart="8" format="45">
      <pivotArea type="data" outline="0" fieldPosition="0">
        <references count="2">
          <reference field="4294967294" count="1" selected="0">
            <x v="0"/>
          </reference>
          <reference field="5" count="1" selected="0">
            <x v="4"/>
          </reference>
        </references>
      </pivotArea>
    </chartFormat>
    <chartFormat chart="8" format="46">
      <pivotArea type="data" outline="0" fieldPosition="0">
        <references count="2">
          <reference field="4294967294" count="1" selected="0">
            <x v="0"/>
          </reference>
          <reference field="5" count="1" selected="0">
            <x v="21"/>
          </reference>
        </references>
      </pivotArea>
    </chartFormat>
    <chartFormat chart="8" format="47">
      <pivotArea type="data" outline="0" fieldPosition="0">
        <references count="2">
          <reference field="4294967294" count="1" selected="0">
            <x v="0"/>
          </reference>
          <reference field="5" count="1" selected="0">
            <x v="10"/>
          </reference>
        </references>
      </pivotArea>
    </chartFormat>
    <chartFormat chart="8" format="48">
      <pivotArea type="data" outline="0" fieldPosition="0">
        <references count="2">
          <reference field="4294967294" count="1" selected="0">
            <x v="0"/>
          </reference>
          <reference field="5" count="1" selected="0">
            <x v="12"/>
          </reference>
        </references>
      </pivotArea>
    </chartFormat>
    <chartFormat chart="8" format="49">
      <pivotArea type="data" outline="0" fieldPosition="0">
        <references count="2">
          <reference field="4294967294" count="1" selected="0">
            <x v="0"/>
          </reference>
          <reference field="5" count="1" selected="0">
            <x v="7"/>
          </reference>
        </references>
      </pivotArea>
    </chartFormat>
    <chartFormat chart="8" format="50">
      <pivotArea type="data" outline="0" fieldPosition="0">
        <references count="2">
          <reference field="4294967294" count="1" selected="0">
            <x v="0"/>
          </reference>
          <reference field="5" count="1" selected="0">
            <x v="24"/>
          </reference>
        </references>
      </pivotArea>
    </chartFormat>
    <chartFormat chart="8" format="51">
      <pivotArea type="data" outline="0" fieldPosition="0">
        <references count="2">
          <reference field="4294967294" count="1" selected="0">
            <x v="0"/>
          </reference>
          <reference field="5" count="1" selected="0">
            <x v="17"/>
          </reference>
        </references>
      </pivotArea>
    </chartFormat>
    <chartFormat chart="8" format="52">
      <pivotArea type="data" outline="0" fieldPosition="0">
        <references count="2">
          <reference field="4294967294" count="1" selected="0">
            <x v="0"/>
          </reference>
          <reference field="5" count="1" selected="0">
            <x v="14"/>
          </reference>
        </references>
      </pivotArea>
    </chartFormat>
    <chartFormat chart="8" format="53">
      <pivotArea type="data" outline="0" fieldPosition="0">
        <references count="2">
          <reference field="4294967294" count="1" selected="0">
            <x v="0"/>
          </reference>
          <reference field="5" count="1" selected="0">
            <x v="5"/>
          </reference>
        </references>
      </pivotArea>
    </chartFormat>
    <chartFormat chart="8" format="54">
      <pivotArea type="data" outline="0" fieldPosition="0">
        <references count="2">
          <reference field="4294967294" count="1" selected="0">
            <x v="0"/>
          </reference>
          <reference field="5" count="1" selected="0">
            <x v="9"/>
          </reference>
        </references>
      </pivotArea>
    </chartFormat>
    <chartFormat chart="8" format="55">
      <pivotArea type="data" outline="0" fieldPosition="0">
        <references count="2">
          <reference field="4294967294" count="1" selected="0">
            <x v="0"/>
          </reference>
          <reference field="5" count="1" selected="0">
            <x v="0"/>
          </reference>
        </references>
      </pivotArea>
    </chartFormat>
    <chartFormat chart="8" format="56">
      <pivotArea type="data" outline="0" fieldPosition="0">
        <references count="2">
          <reference field="4294967294" count="1" selected="0">
            <x v="0"/>
          </reference>
          <reference field="5" count="1" selected="0">
            <x v="27"/>
          </reference>
        </references>
      </pivotArea>
    </chartFormat>
    <chartFormat chart="8" format="57">
      <pivotArea type="data" outline="0" fieldPosition="0">
        <references count="2">
          <reference field="4294967294" count="1" selected="0">
            <x v="0"/>
          </reference>
          <reference field="5" count="1" selected="0">
            <x v="6"/>
          </reference>
        </references>
      </pivotArea>
    </chartFormat>
    <chartFormat chart="8" format="58">
      <pivotArea type="data" outline="0" fieldPosition="0">
        <references count="2">
          <reference field="4294967294" count="1" selected="0">
            <x v="0"/>
          </reference>
          <reference field="5"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9542F9-6A01-484A-B185-C70FD9034BA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0:C47"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sortType="descending">
      <items count="7">
        <item x="5"/>
        <item x="1"/>
        <item x="0"/>
        <item x="3"/>
        <item x="4"/>
        <item x="2"/>
        <item t="default"/>
      </items>
      <autoSortScope>
        <pivotArea dataOnly="0" outline="0" fieldPosition="0">
          <references count="1">
            <reference field="4294967294" count="1" selected="0">
              <x v="0"/>
            </reference>
          </references>
        </pivotArea>
      </autoSortScope>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v="3"/>
    </i>
    <i>
      <x v="5"/>
    </i>
    <i>
      <x v="1"/>
    </i>
    <i>
      <x/>
    </i>
    <i>
      <x v="2"/>
    </i>
    <i>
      <x v="4"/>
    </i>
    <i t="grand">
      <x/>
    </i>
  </rowItems>
  <colItems count="1">
    <i/>
  </colItems>
  <dataFields count="1">
    <dataField name="Sum of Sales Revenue"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4524E-FC65-4600-9C21-932EAED49CCC}"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W9:AF17" firstHeaderRow="1" firstDataRow="2"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sortType="descending">
      <items count="7">
        <item x="5"/>
        <item x="1"/>
        <item x="0"/>
        <item x="3"/>
        <item x="4"/>
        <item x="2"/>
        <item t="default"/>
      </items>
      <autoSortScope>
        <pivotArea dataOnly="0" outline="0" fieldPosition="0">
          <references count="1">
            <reference field="4294967294" count="1" selected="0">
              <x v="0"/>
            </reference>
          </references>
        </pivotArea>
      </autoSortScope>
    </pivotField>
    <pivotField axis="axisCol" dataField="1"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v="1"/>
    </i>
    <i>
      <x v="3"/>
    </i>
    <i>
      <x v="5"/>
    </i>
    <i>
      <x v="4"/>
    </i>
    <i>
      <x v="2"/>
    </i>
    <i>
      <x/>
    </i>
    <i t="grand">
      <x/>
    </i>
  </rowItems>
  <colFields count="1">
    <field x="4"/>
  </colFields>
  <colItems count="9">
    <i>
      <x/>
    </i>
    <i>
      <x v="1"/>
    </i>
    <i>
      <x v="2"/>
    </i>
    <i>
      <x v="3"/>
    </i>
    <i>
      <x v="4"/>
    </i>
    <i>
      <x v="5"/>
    </i>
    <i>
      <x v="6"/>
    </i>
    <i>
      <x v="7"/>
    </i>
    <i t="grand">
      <x/>
    </i>
  </colItems>
  <dataFields count="1">
    <dataField name="Count of Rating" fld="4" subtotal="count" baseField="0" baseItem="0"/>
  </dataFields>
  <chartFormats count="2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6" format="16" series="1">
      <pivotArea type="data" outline="0" fieldPosition="0">
        <references count="2">
          <reference field="4294967294" count="1" selected="0">
            <x v="0"/>
          </reference>
          <reference field="4" count="1" selected="0">
            <x v="0"/>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 chart="6" format="18" series="1">
      <pivotArea type="data" outline="0" fieldPosition="0">
        <references count="2">
          <reference field="4294967294" count="1" selected="0">
            <x v="0"/>
          </reference>
          <reference field="4" count="1" selected="0">
            <x v="2"/>
          </reference>
        </references>
      </pivotArea>
    </chartFormat>
    <chartFormat chart="6" format="19" series="1">
      <pivotArea type="data" outline="0" fieldPosition="0">
        <references count="2">
          <reference field="4294967294" count="1" selected="0">
            <x v="0"/>
          </reference>
          <reference field="4" count="1" selected="0">
            <x v="3"/>
          </reference>
        </references>
      </pivotArea>
    </chartFormat>
    <chartFormat chart="6" format="20" series="1">
      <pivotArea type="data" outline="0" fieldPosition="0">
        <references count="2">
          <reference field="4294967294" count="1" selected="0">
            <x v="0"/>
          </reference>
          <reference field="4" count="1" selected="0">
            <x v="4"/>
          </reference>
        </references>
      </pivotArea>
    </chartFormat>
    <chartFormat chart="6" format="21" series="1">
      <pivotArea type="data" outline="0" fieldPosition="0">
        <references count="2">
          <reference field="4294967294" count="1" selected="0">
            <x v="0"/>
          </reference>
          <reference field="4" count="1" selected="0">
            <x v="5"/>
          </reference>
        </references>
      </pivotArea>
    </chartFormat>
    <chartFormat chart="6" format="22" series="1">
      <pivotArea type="data" outline="0" fieldPosition="0">
        <references count="2">
          <reference field="4294967294" count="1" selected="0">
            <x v="0"/>
          </reference>
          <reference field="4" count="1" selected="0">
            <x v="6"/>
          </reference>
        </references>
      </pivotArea>
    </chartFormat>
    <chartFormat chart="6" format="23" series="1">
      <pivotArea type="data" outline="0" fieldPosition="0">
        <references count="2">
          <reference field="4294967294" count="1" selected="0">
            <x v="0"/>
          </reference>
          <reference field="4" count="1" selected="0">
            <x v="7"/>
          </reference>
        </references>
      </pivotArea>
    </chartFormat>
    <chartFormat chart="8" format="16" series="1">
      <pivotArea type="data" outline="0" fieldPosition="0">
        <references count="2">
          <reference field="4294967294" count="1" selected="0">
            <x v="0"/>
          </reference>
          <reference field="4" count="1" selected="0">
            <x v="0"/>
          </reference>
        </references>
      </pivotArea>
    </chartFormat>
    <chartFormat chart="8" format="17" series="1">
      <pivotArea type="data" outline="0" fieldPosition="0">
        <references count="2">
          <reference field="4294967294" count="1" selected="0">
            <x v="0"/>
          </reference>
          <reference field="4" count="1" selected="0">
            <x v="1"/>
          </reference>
        </references>
      </pivotArea>
    </chartFormat>
    <chartFormat chart="8" format="18" series="1">
      <pivotArea type="data" outline="0" fieldPosition="0">
        <references count="2">
          <reference field="4294967294" count="1" selected="0">
            <x v="0"/>
          </reference>
          <reference field="4" count="1" selected="0">
            <x v="2"/>
          </reference>
        </references>
      </pivotArea>
    </chartFormat>
    <chartFormat chart="8" format="19" series="1">
      <pivotArea type="data" outline="0" fieldPosition="0">
        <references count="2">
          <reference field="4294967294" count="1" selected="0">
            <x v="0"/>
          </reference>
          <reference field="4" count="1" selected="0">
            <x v="3"/>
          </reference>
        </references>
      </pivotArea>
    </chartFormat>
    <chartFormat chart="8" format="20" series="1">
      <pivotArea type="data" outline="0" fieldPosition="0">
        <references count="2">
          <reference field="4294967294" count="1" selected="0">
            <x v="0"/>
          </reference>
          <reference field="4" count="1" selected="0">
            <x v="4"/>
          </reference>
        </references>
      </pivotArea>
    </chartFormat>
    <chartFormat chart="8" format="21" series="1">
      <pivotArea type="data" outline="0" fieldPosition="0">
        <references count="2">
          <reference field="4294967294" count="1" selected="0">
            <x v="0"/>
          </reference>
          <reference field="4" count="1" selected="0">
            <x v="5"/>
          </reference>
        </references>
      </pivotArea>
    </chartFormat>
    <chartFormat chart="8" format="22" series="1">
      <pivotArea type="data" outline="0" fieldPosition="0">
        <references count="2">
          <reference field="4294967294" count="1" selected="0">
            <x v="0"/>
          </reference>
          <reference field="4" count="1" selected="0">
            <x v="6"/>
          </reference>
        </references>
      </pivotArea>
    </chartFormat>
    <chartFormat chart="8" format="23"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1DDAD4-CD43-45DF-9222-D88EB1EE9E84}"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44:P51"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Row" showAll="0" sortType="descending">
      <items count="7">
        <item x="5"/>
        <item x="1"/>
        <item x="0"/>
        <item x="3"/>
        <item x="4"/>
        <item x="2"/>
        <item t="default"/>
      </items>
      <autoSortScope>
        <pivotArea dataOnly="0" outline="0" fieldPosition="0">
          <references count="1">
            <reference field="4294967294" count="1" selected="0">
              <x v="0"/>
            </reference>
          </references>
        </pivotArea>
      </autoSortScope>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v="3"/>
    </i>
    <i>
      <x v="5"/>
    </i>
    <i>
      <x v="1"/>
    </i>
    <i>
      <x/>
    </i>
    <i>
      <x v="2"/>
    </i>
    <i>
      <x v="4"/>
    </i>
    <i t="grand">
      <x/>
    </i>
  </rowItems>
  <colItems count="1">
    <i/>
  </colItems>
  <dataFields count="1">
    <dataField name="Sum of Sales Revenue"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D8B679-B68E-4956-9231-176C48A48C88}"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9:T38"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7">
        <item x="5"/>
        <item x="1"/>
        <item x="0"/>
        <item x="3"/>
        <item x="4"/>
        <item x="2"/>
        <item t="default"/>
      </items>
    </pivotField>
    <pivotField showAll="0">
      <items count="9">
        <item x="3"/>
        <item x="1"/>
        <item x="0"/>
        <item x="7"/>
        <item x="4"/>
        <item x="2"/>
        <item x="6"/>
        <item x="5"/>
        <item t="default"/>
      </items>
    </pivotField>
    <pivotField axis="axisRow" showAll="0" sortType="descending">
      <items count="29">
        <item x="15"/>
        <item x="18"/>
        <item x="17"/>
        <item x="4"/>
        <item x="7"/>
        <item x="12"/>
        <item x="2"/>
        <item x="11"/>
        <item x="20"/>
        <item x="21"/>
        <item x="14"/>
        <item x="3"/>
        <item x="13"/>
        <item x="8"/>
        <item x="10"/>
        <item x="9"/>
        <item x="27"/>
        <item x="0"/>
        <item x="25"/>
        <item x="22"/>
        <item x="23"/>
        <item x="6"/>
        <item x="26"/>
        <item x="24"/>
        <item x="1"/>
        <item x="16"/>
        <item x="19"/>
        <item x="5"/>
        <item t="default"/>
      </items>
      <autoSortScope>
        <pivotArea dataOnly="0" outline="0" fieldPosition="0">
          <references count="1">
            <reference field="4294967294" count="1" selected="0">
              <x v="0"/>
            </reference>
          </references>
        </pivotArea>
      </autoSortScope>
    </pivotField>
    <pivotField showAll="0">
      <items count="18">
        <item x="13"/>
        <item x="1"/>
        <item x="6"/>
        <item x="3"/>
        <item x="4"/>
        <item x="12"/>
        <item x="8"/>
        <item x="16"/>
        <item x="14"/>
        <item x="15"/>
        <item x="9"/>
        <item x="0"/>
        <item x="5"/>
        <item x="7"/>
        <item x="11"/>
        <item x="10"/>
        <item x="2"/>
        <item t="default"/>
      </items>
    </pivotField>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9">
    <i>
      <x v="16"/>
    </i>
    <i>
      <x v="18"/>
    </i>
    <i>
      <x v="23"/>
    </i>
    <i>
      <x v="20"/>
    </i>
    <i>
      <x v="19"/>
    </i>
    <i>
      <x v="8"/>
    </i>
    <i>
      <x v="3"/>
    </i>
    <i>
      <x v="26"/>
    </i>
    <i>
      <x v="15"/>
    </i>
    <i>
      <x v="1"/>
    </i>
    <i>
      <x v="11"/>
    </i>
    <i>
      <x v="2"/>
    </i>
    <i>
      <x v="13"/>
    </i>
    <i>
      <x v="25"/>
    </i>
    <i>
      <x v="4"/>
    </i>
    <i>
      <x v="21"/>
    </i>
    <i>
      <x v="10"/>
    </i>
    <i>
      <x v="12"/>
    </i>
    <i>
      <x v="7"/>
    </i>
    <i>
      <x v="24"/>
    </i>
    <i>
      <x v="17"/>
    </i>
    <i>
      <x v="14"/>
    </i>
    <i>
      <x v="5"/>
    </i>
    <i>
      <x v="9"/>
    </i>
    <i>
      <x/>
    </i>
    <i>
      <x v="27"/>
    </i>
    <i>
      <x v="6"/>
    </i>
    <i>
      <x v="22"/>
    </i>
    <i t="grand">
      <x/>
    </i>
  </rowItems>
  <colItems count="1">
    <i/>
  </colItems>
  <dataFields count="1">
    <dataField name="Sum of Quantity" fld="8" baseField="0" baseItem="0"/>
  </dataFields>
  <chartFormats count="59">
    <chartFormat chart="0" format="0" series="1">
      <pivotArea type="data" outline="0" fieldPosition="0">
        <references count="1">
          <reference field="4294967294" count="1" selected="0">
            <x v="0"/>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5" count="1" selected="0">
            <x v="16"/>
          </reference>
        </references>
      </pivotArea>
    </chartFormat>
    <chartFormat chart="6" format="32">
      <pivotArea type="data" outline="0" fieldPosition="0">
        <references count="2">
          <reference field="4294967294" count="1" selected="0">
            <x v="0"/>
          </reference>
          <reference field="5" count="1" selected="0">
            <x v="18"/>
          </reference>
        </references>
      </pivotArea>
    </chartFormat>
    <chartFormat chart="6" format="33">
      <pivotArea type="data" outline="0" fieldPosition="0">
        <references count="2">
          <reference field="4294967294" count="1" selected="0">
            <x v="0"/>
          </reference>
          <reference field="5" count="1" selected="0">
            <x v="23"/>
          </reference>
        </references>
      </pivotArea>
    </chartFormat>
    <chartFormat chart="6" format="34">
      <pivotArea type="data" outline="0" fieldPosition="0">
        <references count="2">
          <reference field="4294967294" count="1" selected="0">
            <x v="0"/>
          </reference>
          <reference field="5" count="1" selected="0">
            <x v="20"/>
          </reference>
        </references>
      </pivotArea>
    </chartFormat>
    <chartFormat chart="6" format="35">
      <pivotArea type="data" outline="0" fieldPosition="0">
        <references count="2">
          <reference field="4294967294" count="1" selected="0">
            <x v="0"/>
          </reference>
          <reference field="5" count="1" selected="0">
            <x v="19"/>
          </reference>
        </references>
      </pivotArea>
    </chartFormat>
    <chartFormat chart="6" format="36">
      <pivotArea type="data" outline="0" fieldPosition="0">
        <references count="2">
          <reference field="4294967294" count="1" selected="0">
            <x v="0"/>
          </reference>
          <reference field="5" count="1" selected="0">
            <x v="8"/>
          </reference>
        </references>
      </pivotArea>
    </chartFormat>
    <chartFormat chart="6" format="37">
      <pivotArea type="data" outline="0" fieldPosition="0">
        <references count="2">
          <reference field="4294967294" count="1" selected="0">
            <x v="0"/>
          </reference>
          <reference field="5" count="1" selected="0">
            <x v="3"/>
          </reference>
        </references>
      </pivotArea>
    </chartFormat>
    <chartFormat chart="6" format="38">
      <pivotArea type="data" outline="0" fieldPosition="0">
        <references count="2">
          <reference field="4294967294" count="1" selected="0">
            <x v="0"/>
          </reference>
          <reference field="5" count="1" selected="0">
            <x v="26"/>
          </reference>
        </references>
      </pivotArea>
    </chartFormat>
    <chartFormat chart="6" format="39">
      <pivotArea type="data" outline="0" fieldPosition="0">
        <references count="2">
          <reference field="4294967294" count="1" selected="0">
            <x v="0"/>
          </reference>
          <reference field="5" count="1" selected="0">
            <x v="15"/>
          </reference>
        </references>
      </pivotArea>
    </chartFormat>
    <chartFormat chart="6" format="40">
      <pivotArea type="data" outline="0" fieldPosition="0">
        <references count="2">
          <reference field="4294967294" count="1" selected="0">
            <x v="0"/>
          </reference>
          <reference field="5" count="1" selected="0">
            <x v="1"/>
          </reference>
        </references>
      </pivotArea>
    </chartFormat>
    <chartFormat chart="6" format="41">
      <pivotArea type="data" outline="0" fieldPosition="0">
        <references count="2">
          <reference field="4294967294" count="1" selected="0">
            <x v="0"/>
          </reference>
          <reference field="5" count="1" selected="0">
            <x v="11"/>
          </reference>
        </references>
      </pivotArea>
    </chartFormat>
    <chartFormat chart="6" format="42">
      <pivotArea type="data" outline="0" fieldPosition="0">
        <references count="2">
          <reference field="4294967294" count="1" selected="0">
            <x v="0"/>
          </reference>
          <reference field="5" count="1" selected="0">
            <x v="2"/>
          </reference>
        </references>
      </pivotArea>
    </chartFormat>
    <chartFormat chart="6" format="43">
      <pivotArea type="data" outline="0" fieldPosition="0">
        <references count="2">
          <reference field="4294967294" count="1" selected="0">
            <x v="0"/>
          </reference>
          <reference field="5" count="1" selected="0">
            <x v="13"/>
          </reference>
        </references>
      </pivotArea>
    </chartFormat>
    <chartFormat chart="6" format="44">
      <pivotArea type="data" outline="0" fieldPosition="0">
        <references count="2">
          <reference field="4294967294" count="1" selected="0">
            <x v="0"/>
          </reference>
          <reference field="5" count="1" selected="0">
            <x v="25"/>
          </reference>
        </references>
      </pivotArea>
    </chartFormat>
    <chartFormat chart="6" format="45">
      <pivotArea type="data" outline="0" fieldPosition="0">
        <references count="2">
          <reference field="4294967294" count="1" selected="0">
            <x v="0"/>
          </reference>
          <reference field="5" count="1" selected="0">
            <x v="4"/>
          </reference>
        </references>
      </pivotArea>
    </chartFormat>
    <chartFormat chart="6" format="46">
      <pivotArea type="data" outline="0" fieldPosition="0">
        <references count="2">
          <reference field="4294967294" count="1" selected="0">
            <x v="0"/>
          </reference>
          <reference field="5" count="1" selected="0">
            <x v="21"/>
          </reference>
        </references>
      </pivotArea>
    </chartFormat>
    <chartFormat chart="6" format="47">
      <pivotArea type="data" outline="0" fieldPosition="0">
        <references count="2">
          <reference field="4294967294" count="1" selected="0">
            <x v="0"/>
          </reference>
          <reference field="5" count="1" selected="0">
            <x v="10"/>
          </reference>
        </references>
      </pivotArea>
    </chartFormat>
    <chartFormat chart="6" format="48">
      <pivotArea type="data" outline="0" fieldPosition="0">
        <references count="2">
          <reference field="4294967294" count="1" selected="0">
            <x v="0"/>
          </reference>
          <reference field="5" count="1" selected="0">
            <x v="12"/>
          </reference>
        </references>
      </pivotArea>
    </chartFormat>
    <chartFormat chart="6" format="49">
      <pivotArea type="data" outline="0" fieldPosition="0">
        <references count="2">
          <reference field="4294967294" count="1" selected="0">
            <x v="0"/>
          </reference>
          <reference field="5" count="1" selected="0">
            <x v="7"/>
          </reference>
        </references>
      </pivotArea>
    </chartFormat>
    <chartFormat chart="6" format="50">
      <pivotArea type="data" outline="0" fieldPosition="0">
        <references count="2">
          <reference field="4294967294" count="1" selected="0">
            <x v="0"/>
          </reference>
          <reference field="5" count="1" selected="0">
            <x v="24"/>
          </reference>
        </references>
      </pivotArea>
    </chartFormat>
    <chartFormat chart="6" format="51">
      <pivotArea type="data" outline="0" fieldPosition="0">
        <references count="2">
          <reference field="4294967294" count="1" selected="0">
            <x v="0"/>
          </reference>
          <reference field="5" count="1" selected="0">
            <x v="17"/>
          </reference>
        </references>
      </pivotArea>
    </chartFormat>
    <chartFormat chart="6" format="52">
      <pivotArea type="data" outline="0" fieldPosition="0">
        <references count="2">
          <reference field="4294967294" count="1" selected="0">
            <x v="0"/>
          </reference>
          <reference field="5" count="1" selected="0">
            <x v="14"/>
          </reference>
        </references>
      </pivotArea>
    </chartFormat>
    <chartFormat chart="6" format="53">
      <pivotArea type="data" outline="0" fieldPosition="0">
        <references count="2">
          <reference field="4294967294" count="1" selected="0">
            <x v="0"/>
          </reference>
          <reference field="5" count="1" selected="0">
            <x v="5"/>
          </reference>
        </references>
      </pivotArea>
    </chartFormat>
    <chartFormat chart="6" format="54">
      <pivotArea type="data" outline="0" fieldPosition="0">
        <references count="2">
          <reference field="4294967294" count="1" selected="0">
            <x v="0"/>
          </reference>
          <reference field="5" count="1" selected="0">
            <x v="9"/>
          </reference>
        </references>
      </pivotArea>
    </chartFormat>
    <chartFormat chart="6" format="55">
      <pivotArea type="data" outline="0" fieldPosition="0">
        <references count="2">
          <reference field="4294967294" count="1" selected="0">
            <x v="0"/>
          </reference>
          <reference field="5" count="1" selected="0">
            <x v="0"/>
          </reference>
        </references>
      </pivotArea>
    </chartFormat>
    <chartFormat chart="6" format="56">
      <pivotArea type="data" outline="0" fieldPosition="0">
        <references count="2">
          <reference field="4294967294" count="1" selected="0">
            <x v="0"/>
          </reference>
          <reference field="5" count="1" selected="0">
            <x v="27"/>
          </reference>
        </references>
      </pivotArea>
    </chartFormat>
    <chartFormat chart="6" format="57">
      <pivotArea type="data" outline="0" fieldPosition="0">
        <references count="2">
          <reference field="4294967294" count="1" selected="0">
            <x v="0"/>
          </reference>
          <reference field="5" count="1" selected="0">
            <x v="6"/>
          </reference>
        </references>
      </pivotArea>
    </chartFormat>
    <chartFormat chart="6" format="58">
      <pivotArea type="data" outline="0" fieldPosition="0">
        <references count="2">
          <reference field="4294967294" count="1" selected="0">
            <x v="0"/>
          </reference>
          <reference field="5" count="1" selected="0">
            <x v="22"/>
          </reference>
        </references>
      </pivotArea>
    </chartFormat>
    <chartFormat chart="8" format="30" series="1">
      <pivotArea type="data" outline="0" fieldPosition="0">
        <references count="1">
          <reference field="4294967294" count="1" selected="0">
            <x v="0"/>
          </reference>
        </references>
      </pivotArea>
    </chartFormat>
    <chartFormat chart="8" format="31">
      <pivotArea type="data" outline="0" fieldPosition="0">
        <references count="2">
          <reference field="4294967294" count="1" selected="0">
            <x v="0"/>
          </reference>
          <reference field="5" count="1" selected="0">
            <x v="16"/>
          </reference>
        </references>
      </pivotArea>
    </chartFormat>
    <chartFormat chart="8" format="32">
      <pivotArea type="data" outline="0" fieldPosition="0">
        <references count="2">
          <reference field="4294967294" count="1" selected="0">
            <x v="0"/>
          </reference>
          <reference field="5" count="1" selected="0">
            <x v="18"/>
          </reference>
        </references>
      </pivotArea>
    </chartFormat>
    <chartFormat chart="8" format="33">
      <pivotArea type="data" outline="0" fieldPosition="0">
        <references count="2">
          <reference field="4294967294" count="1" selected="0">
            <x v="0"/>
          </reference>
          <reference field="5" count="1" selected="0">
            <x v="23"/>
          </reference>
        </references>
      </pivotArea>
    </chartFormat>
    <chartFormat chart="8" format="34">
      <pivotArea type="data" outline="0" fieldPosition="0">
        <references count="2">
          <reference field="4294967294" count="1" selected="0">
            <x v="0"/>
          </reference>
          <reference field="5" count="1" selected="0">
            <x v="20"/>
          </reference>
        </references>
      </pivotArea>
    </chartFormat>
    <chartFormat chart="8" format="35">
      <pivotArea type="data" outline="0" fieldPosition="0">
        <references count="2">
          <reference field="4294967294" count="1" selected="0">
            <x v="0"/>
          </reference>
          <reference field="5" count="1" selected="0">
            <x v="19"/>
          </reference>
        </references>
      </pivotArea>
    </chartFormat>
    <chartFormat chart="8" format="36">
      <pivotArea type="data" outline="0" fieldPosition="0">
        <references count="2">
          <reference field="4294967294" count="1" selected="0">
            <x v="0"/>
          </reference>
          <reference field="5" count="1" selected="0">
            <x v="8"/>
          </reference>
        </references>
      </pivotArea>
    </chartFormat>
    <chartFormat chart="8" format="37">
      <pivotArea type="data" outline="0" fieldPosition="0">
        <references count="2">
          <reference field="4294967294" count="1" selected="0">
            <x v="0"/>
          </reference>
          <reference field="5" count="1" selected="0">
            <x v="3"/>
          </reference>
        </references>
      </pivotArea>
    </chartFormat>
    <chartFormat chart="8" format="38">
      <pivotArea type="data" outline="0" fieldPosition="0">
        <references count="2">
          <reference field="4294967294" count="1" selected="0">
            <x v="0"/>
          </reference>
          <reference field="5" count="1" selected="0">
            <x v="26"/>
          </reference>
        </references>
      </pivotArea>
    </chartFormat>
    <chartFormat chart="8" format="39">
      <pivotArea type="data" outline="0" fieldPosition="0">
        <references count="2">
          <reference field="4294967294" count="1" selected="0">
            <x v="0"/>
          </reference>
          <reference field="5" count="1" selected="0">
            <x v="15"/>
          </reference>
        </references>
      </pivotArea>
    </chartFormat>
    <chartFormat chart="8" format="40">
      <pivotArea type="data" outline="0" fieldPosition="0">
        <references count="2">
          <reference field="4294967294" count="1" selected="0">
            <x v="0"/>
          </reference>
          <reference field="5" count="1" selected="0">
            <x v="1"/>
          </reference>
        </references>
      </pivotArea>
    </chartFormat>
    <chartFormat chart="8" format="41">
      <pivotArea type="data" outline="0" fieldPosition="0">
        <references count="2">
          <reference field="4294967294" count="1" selected="0">
            <x v="0"/>
          </reference>
          <reference field="5" count="1" selected="0">
            <x v="11"/>
          </reference>
        </references>
      </pivotArea>
    </chartFormat>
    <chartFormat chart="8" format="42">
      <pivotArea type="data" outline="0" fieldPosition="0">
        <references count="2">
          <reference field="4294967294" count="1" selected="0">
            <x v="0"/>
          </reference>
          <reference field="5" count="1" selected="0">
            <x v="2"/>
          </reference>
        </references>
      </pivotArea>
    </chartFormat>
    <chartFormat chart="8" format="43">
      <pivotArea type="data" outline="0" fieldPosition="0">
        <references count="2">
          <reference field="4294967294" count="1" selected="0">
            <x v="0"/>
          </reference>
          <reference field="5" count="1" selected="0">
            <x v="13"/>
          </reference>
        </references>
      </pivotArea>
    </chartFormat>
    <chartFormat chart="8" format="44">
      <pivotArea type="data" outline="0" fieldPosition="0">
        <references count="2">
          <reference field="4294967294" count="1" selected="0">
            <x v="0"/>
          </reference>
          <reference field="5" count="1" selected="0">
            <x v="25"/>
          </reference>
        </references>
      </pivotArea>
    </chartFormat>
    <chartFormat chart="8" format="45">
      <pivotArea type="data" outline="0" fieldPosition="0">
        <references count="2">
          <reference field="4294967294" count="1" selected="0">
            <x v="0"/>
          </reference>
          <reference field="5" count="1" selected="0">
            <x v="4"/>
          </reference>
        </references>
      </pivotArea>
    </chartFormat>
    <chartFormat chart="8" format="46">
      <pivotArea type="data" outline="0" fieldPosition="0">
        <references count="2">
          <reference field="4294967294" count="1" selected="0">
            <x v="0"/>
          </reference>
          <reference field="5" count="1" selected="0">
            <x v="21"/>
          </reference>
        </references>
      </pivotArea>
    </chartFormat>
    <chartFormat chart="8" format="47">
      <pivotArea type="data" outline="0" fieldPosition="0">
        <references count="2">
          <reference field="4294967294" count="1" selected="0">
            <x v="0"/>
          </reference>
          <reference field="5" count="1" selected="0">
            <x v="10"/>
          </reference>
        </references>
      </pivotArea>
    </chartFormat>
    <chartFormat chart="8" format="48">
      <pivotArea type="data" outline="0" fieldPosition="0">
        <references count="2">
          <reference field="4294967294" count="1" selected="0">
            <x v="0"/>
          </reference>
          <reference field="5" count="1" selected="0">
            <x v="12"/>
          </reference>
        </references>
      </pivotArea>
    </chartFormat>
    <chartFormat chart="8" format="49">
      <pivotArea type="data" outline="0" fieldPosition="0">
        <references count="2">
          <reference field="4294967294" count="1" selected="0">
            <x v="0"/>
          </reference>
          <reference field="5" count="1" selected="0">
            <x v="7"/>
          </reference>
        </references>
      </pivotArea>
    </chartFormat>
    <chartFormat chart="8" format="50">
      <pivotArea type="data" outline="0" fieldPosition="0">
        <references count="2">
          <reference field="4294967294" count="1" selected="0">
            <x v="0"/>
          </reference>
          <reference field="5" count="1" selected="0">
            <x v="24"/>
          </reference>
        </references>
      </pivotArea>
    </chartFormat>
    <chartFormat chart="8" format="51">
      <pivotArea type="data" outline="0" fieldPosition="0">
        <references count="2">
          <reference field="4294967294" count="1" selected="0">
            <x v="0"/>
          </reference>
          <reference field="5" count="1" selected="0">
            <x v="17"/>
          </reference>
        </references>
      </pivotArea>
    </chartFormat>
    <chartFormat chart="8" format="52">
      <pivotArea type="data" outline="0" fieldPosition="0">
        <references count="2">
          <reference field="4294967294" count="1" selected="0">
            <x v="0"/>
          </reference>
          <reference field="5" count="1" selected="0">
            <x v="14"/>
          </reference>
        </references>
      </pivotArea>
    </chartFormat>
    <chartFormat chart="8" format="53">
      <pivotArea type="data" outline="0" fieldPosition="0">
        <references count="2">
          <reference field="4294967294" count="1" selected="0">
            <x v="0"/>
          </reference>
          <reference field="5" count="1" selected="0">
            <x v="5"/>
          </reference>
        </references>
      </pivotArea>
    </chartFormat>
    <chartFormat chart="8" format="54">
      <pivotArea type="data" outline="0" fieldPosition="0">
        <references count="2">
          <reference field="4294967294" count="1" selected="0">
            <x v="0"/>
          </reference>
          <reference field="5" count="1" selected="0">
            <x v="9"/>
          </reference>
        </references>
      </pivotArea>
    </chartFormat>
    <chartFormat chart="8" format="55">
      <pivotArea type="data" outline="0" fieldPosition="0">
        <references count="2">
          <reference field="4294967294" count="1" selected="0">
            <x v="0"/>
          </reference>
          <reference field="5" count="1" selected="0">
            <x v="0"/>
          </reference>
        </references>
      </pivotArea>
    </chartFormat>
    <chartFormat chart="8" format="56">
      <pivotArea type="data" outline="0" fieldPosition="0">
        <references count="2">
          <reference field="4294967294" count="1" selected="0">
            <x v="0"/>
          </reference>
          <reference field="5" count="1" selected="0">
            <x v="27"/>
          </reference>
        </references>
      </pivotArea>
    </chartFormat>
    <chartFormat chart="8" format="57">
      <pivotArea type="data" outline="0" fieldPosition="0">
        <references count="2">
          <reference field="4294967294" count="1" selected="0">
            <x v="0"/>
          </reference>
          <reference field="5" count="1" selected="0">
            <x v="6"/>
          </reference>
        </references>
      </pivotArea>
    </chartFormat>
    <chartFormat chart="8" format="58">
      <pivotArea type="data" outline="0" fieldPosition="0">
        <references count="2">
          <reference field="4294967294" count="1" selected="0">
            <x v="0"/>
          </reference>
          <reference field="5"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4AC40A-2825-4C25-8CEA-AD2B5BC3B714}"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9:P36" firstHeaderRow="1" firstDataRow="1" firstDataCol="1"/>
  <pivotFields count="14">
    <pivotField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sortType="descending">
      <items count="29">
        <item x="0"/>
        <item x="1"/>
        <item x="2"/>
        <item x="3"/>
        <item x="4"/>
        <item x="5"/>
        <item x="6"/>
        <item x="7"/>
        <item x="8"/>
        <item x="9"/>
        <item x="10"/>
        <item x="11"/>
        <item x="12"/>
        <item x="13"/>
        <item x="14"/>
        <item x="15"/>
        <item x="16"/>
        <item x="17"/>
        <item x="18"/>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axis="axisRow" showAll="0" sortType="descending">
      <items count="27">
        <item x="3"/>
        <item x="13"/>
        <item x="7"/>
        <item x="4"/>
        <item x="8"/>
        <item x="9"/>
        <item x="21"/>
        <item x="18"/>
        <item x="17"/>
        <item x="1"/>
        <item x="19"/>
        <item x="0"/>
        <item x="20"/>
        <item x="24"/>
        <item x="6"/>
        <item x="2"/>
        <item x="12"/>
        <item x="14"/>
        <item x="16"/>
        <item x="5"/>
        <item x="15"/>
        <item x="22"/>
        <item x="11"/>
        <item x="25"/>
        <item x="23"/>
        <item x="10"/>
        <item t="default"/>
      </items>
      <autoSortScope>
        <pivotArea dataOnly="0" outline="0" fieldPosition="0">
          <references count="1">
            <reference field="4294967294" count="1" selected="0">
              <x v="0"/>
            </reference>
          </references>
        </pivotArea>
      </autoSortScope>
    </pivotField>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7">
    <i>
      <x v="22"/>
    </i>
    <i>
      <x v="23"/>
    </i>
    <i>
      <x v="13"/>
    </i>
    <i>
      <x v="24"/>
    </i>
    <i>
      <x v="21"/>
    </i>
    <i>
      <x v="12"/>
    </i>
    <i>
      <x v="10"/>
    </i>
    <i>
      <x v="7"/>
    </i>
    <i>
      <x v="8"/>
    </i>
    <i>
      <x v="18"/>
    </i>
    <i>
      <x v="17"/>
    </i>
    <i>
      <x v="1"/>
    </i>
    <i>
      <x v="3"/>
    </i>
    <i>
      <x v="25"/>
    </i>
    <i>
      <x v="5"/>
    </i>
    <i>
      <x v="2"/>
    </i>
    <i>
      <x v="4"/>
    </i>
    <i>
      <x/>
    </i>
    <i>
      <x v="14"/>
    </i>
    <i>
      <x v="11"/>
    </i>
    <i>
      <x v="9"/>
    </i>
    <i>
      <x v="19"/>
    </i>
    <i>
      <x v="20"/>
    </i>
    <i>
      <x v="16"/>
    </i>
    <i>
      <x v="6"/>
    </i>
    <i>
      <x v="15"/>
    </i>
    <i t="grand">
      <x/>
    </i>
  </rowItems>
  <colItems count="1">
    <i/>
  </colItems>
  <dataFields count="1">
    <dataField name="Sum of Sales Revenue"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D32648-C57E-49CC-BB58-3A60317EC5FB}"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44:T48" firstHeaderRow="1" firstDataRow="1" firstDataCol="1"/>
  <pivotFields count="14">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items count="7">
        <item x="5"/>
        <item x="1"/>
        <item x="0"/>
        <item x="3"/>
        <item x="4"/>
        <item x="2"/>
        <item t="default"/>
      </items>
    </pivotField>
    <pivotField showAll="0">
      <items count="9">
        <item x="3"/>
        <item x="1"/>
        <item x="0"/>
        <item x="7"/>
        <item x="4"/>
        <item x="2"/>
        <item x="6"/>
        <item x="5"/>
        <item t="default"/>
      </items>
    </pivotField>
    <pivotField showAll="0">
      <items count="29">
        <item x="15"/>
        <item x="18"/>
        <item x="17"/>
        <item x="4"/>
        <item x="7"/>
        <item x="12"/>
        <item x="2"/>
        <item x="11"/>
        <item x="20"/>
        <item x="21"/>
        <item x="14"/>
        <item x="3"/>
        <item x="13"/>
        <item x="8"/>
        <item x="10"/>
        <item x="9"/>
        <item x="27"/>
        <item x="0"/>
        <item x="25"/>
        <item x="22"/>
        <item x="23"/>
        <item x="6"/>
        <item x="26"/>
        <item x="24"/>
        <item x="1"/>
        <item x="16"/>
        <item x="19"/>
        <item x="5"/>
        <item t="default"/>
      </items>
    </pivotField>
    <pivotField showAll="0">
      <items count="18">
        <item x="13"/>
        <item x="1"/>
        <item x="6"/>
        <item x="3"/>
        <item x="4"/>
        <item x="12"/>
        <item x="8"/>
        <item x="16"/>
        <item x="14"/>
        <item x="15"/>
        <item x="9"/>
        <item x="0"/>
        <item x="5"/>
        <item x="7"/>
        <item x="11"/>
        <item x="10"/>
        <item x="2"/>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3"/>
    <field x="12"/>
    <field x="11"/>
    <field x="0"/>
  </rowFields>
  <rowItems count="4">
    <i>
      <x v="1"/>
    </i>
    <i>
      <x v="2"/>
    </i>
    <i>
      <x v="3"/>
    </i>
    <i t="grand">
      <x/>
    </i>
  </rowItems>
  <colItems count="1">
    <i/>
  </colItems>
  <dataFields count="1">
    <dataField name="Sum of Sales Revenue" fld="10"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4E926F8-07EF-419A-83B7-0E4364A7E267}" sourceName="Region">
  <pivotTables>
    <pivotTable tabId="2" name="PivotTable4"/>
    <pivotTable tabId="2" name="PivotTable1"/>
    <pivotTable tabId="2" name="PivotTable2"/>
    <pivotTable tabId="2" name="PivotTable3"/>
    <pivotTable tabId="2" name="PivotTable5"/>
    <pivotTable tabId="1" name="PivotTable6"/>
    <pivotTable tabId="1" name="PivotTable7"/>
    <pivotTable tabId="1" name="PivotTable8"/>
    <pivotTable tabId="1" name="PivotTable9"/>
    <pivotTable tabId="1" name="PivotTable10"/>
  </pivotTables>
  <data>
    <tabular pivotCacheId="489256988">
      <items count="6">
        <i x="5" s="1"/>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32AD556-3588-4832-A9CC-6C1EE159DFAD}" sourceName="Rating">
  <pivotTables>
    <pivotTable tabId="2" name="PivotTable4"/>
    <pivotTable tabId="2" name="PivotTable1"/>
    <pivotTable tabId="2" name="PivotTable2"/>
    <pivotTable tabId="2" name="PivotTable3"/>
    <pivotTable tabId="2" name="PivotTable5"/>
    <pivotTable tabId="1" name="PivotTable6"/>
    <pivotTable tabId="1" name="PivotTable7"/>
    <pivotTable tabId="1" name="PivotTable8"/>
    <pivotTable tabId="1" name="PivotTable9"/>
    <pivotTable tabId="1" name="PivotTable10"/>
  </pivotTables>
  <data>
    <tabular pivotCacheId="489256988">
      <items count="8">
        <i x="3" s="1"/>
        <i x="1" s="1"/>
        <i x="0" s="1"/>
        <i x="7" s="1"/>
        <i x="4" s="1"/>
        <i x="2"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71F42C0-FF43-4F40-A5C8-82A22BCF22BD}" sourceName="Product">
  <pivotTables>
    <pivotTable tabId="2" name="PivotTable4"/>
    <pivotTable tabId="2" name="PivotTable1"/>
    <pivotTable tabId="2" name="PivotTable2"/>
    <pivotTable tabId="2" name="PivotTable3"/>
    <pivotTable tabId="2" name="PivotTable5"/>
    <pivotTable tabId="1" name="PivotTable6"/>
    <pivotTable tabId="1" name="PivotTable7"/>
    <pivotTable tabId="1" name="PivotTable8"/>
    <pivotTable tabId="1" name="PivotTable9"/>
    <pivotTable tabId="1" name="PivotTable10"/>
  </pivotTables>
  <data>
    <tabular pivotCacheId="489256988">
      <items count="28">
        <i x="15" s="1"/>
        <i x="18" s="1"/>
        <i x="17" s="1"/>
        <i x="4" s="1"/>
        <i x="7" s="1"/>
        <i x="12" s="1"/>
        <i x="2" s="1"/>
        <i x="11" s="1"/>
        <i x="20" s="1"/>
        <i x="21" s="1"/>
        <i x="14" s="1"/>
        <i x="3" s="1"/>
        <i x="13" s="1"/>
        <i x="8" s="1"/>
        <i x="10" s="1"/>
        <i x="9" s="1"/>
        <i x="27" s="1"/>
        <i x="0" s="1"/>
        <i x="25" s="1"/>
        <i x="22" s="1"/>
        <i x="23" s="1"/>
        <i x="6" s="1"/>
        <i x="26" s="1"/>
        <i x="24" s="1"/>
        <i x="1" s="1"/>
        <i x="16" s="1"/>
        <i x="1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4AE77C54-2FA1-4B7C-AEE6-7FC752A930DF}" sourceName="Designation">
  <pivotTables>
    <pivotTable tabId="2" name="PivotTable4"/>
    <pivotTable tabId="2" name="PivotTable1"/>
    <pivotTable tabId="2" name="PivotTable2"/>
    <pivotTable tabId="2" name="PivotTable3"/>
    <pivotTable tabId="2" name="PivotTable5"/>
    <pivotTable tabId="1" name="PivotTable6"/>
    <pivotTable tabId="1" name="PivotTable7"/>
    <pivotTable tabId="1" name="PivotTable8"/>
    <pivotTable tabId="1" name="PivotTable9"/>
    <pivotTable tabId="1" name="PivotTable10"/>
  </pivotTables>
  <data>
    <tabular pivotCacheId="489256988">
      <items count="17">
        <i x="13" s="1"/>
        <i x="1" s="1"/>
        <i x="6" s="1"/>
        <i x="3" s="1"/>
        <i x="4" s="1"/>
        <i x="12" s="1"/>
        <i x="8" s="1"/>
        <i x="16" s="1"/>
        <i x="14" s="1"/>
        <i x="15" s="1"/>
        <i x="9" s="1"/>
        <i x="0" s="1"/>
        <i x="5" s="1"/>
        <i x="7" s="1"/>
        <i x="11" s="1"/>
        <i x="1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69A545-7200-49AF-8B82-24D59F4DA50B}" cache="Slicer_Region" caption="Region" rowHeight="241300"/>
  <slicer name="Region 2" xr10:uid="{23A4A37B-76DA-4AE2-BC8A-868E7E5ACCD1}" cache="Slicer_Region" caption="Region" rowHeight="241300"/>
  <slicer name="Rating" xr10:uid="{4E3991DE-02D9-4ECB-853F-227CE985C73E}" cache="Slicer_Rating" caption="Rating" rowHeight="241300"/>
  <slicer name="Rating 2" xr10:uid="{F52997DF-252A-4372-AEAF-468A536E7C2A}" cache="Slicer_Rating" caption="Rating" rowHeight="241300"/>
  <slicer name="Product" xr10:uid="{E8F6B082-0596-48E0-9A89-B3F4B5DC3759}" cache="Slicer_Product" caption="Product" rowHeight="241300"/>
  <slicer name="Product 2" xr10:uid="{B80710C3-42BC-4343-8153-103176DA15AF}" cache="Slicer_Product" caption="Product" rowHeight="241300"/>
  <slicer name="Designation" xr10:uid="{44E9B791-AE86-40CC-BB27-67326BB990FF}" cache="Slicer_Designation" caption="Designation" rowHeight="241300"/>
  <slicer name="Designation 2" xr10:uid="{377C146D-2391-4CB0-B824-5CF1678A2E7B}" cache="Slicer_Designation" caption="Design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5FC9595-4C4A-49AB-9A1E-B0E1931A79ED}" cache="Slicer_Region" caption="Region" rowHeight="241300"/>
  <slicer name="Rating 1" xr10:uid="{E8C03279-288C-43F3-868B-8111B2FF9E93}" cache="Slicer_Rating" caption="Rating" rowHeight="241300"/>
  <slicer name="Product 1" xr10:uid="{08A3BD0F-D3A5-44EC-8D5F-4EB7E3436D13}" cache="Slicer_Product" caption="Product" rowHeight="241300"/>
  <slicer name="Designation 1" xr10:uid="{E3325D6E-26DD-46D6-8BA0-0E9FDDA5C86E}" cache="Slicer_Designation" caption="Design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8.xml"/><Relationship Id="rId7"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9AB51-0228-4152-ADBD-ED3E944823A4}">
  <dimension ref="A1:BG74"/>
  <sheetViews>
    <sheetView topLeftCell="B42" zoomScale="46" zoomScaleNormal="32" workbookViewId="0">
      <selection activeCell="J64" sqref="J64:T71"/>
    </sheetView>
  </sheetViews>
  <sheetFormatPr defaultRowHeight="14.5" x14ac:dyDescent="0.35"/>
  <cols>
    <col min="1" max="1" width="8.6328125" customWidth="1"/>
    <col min="2" max="2" width="18.6328125" bestFit="1" customWidth="1"/>
    <col min="3" max="3" width="26.1796875" bestFit="1" customWidth="1"/>
    <col min="4" max="4" width="7.90625" customWidth="1"/>
    <col min="5" max="5" width="4.81640625" customWidth="1"/>
    <col min="6" max="6" width="18.6328125" bestFit="1" customWidth="1"/>
    <col min="7" max="7" width="26.1796875" bestFit="1" customWidth="1"/>
    <col min="8" max="8" width="7.90625" customWidth="1"/>
    <col min="9" max="9" width="18.6328125" bestFit="1" customWidth="1"/>
    <col min="10" max="10" width="22.36328125" bestFit="1" customWidth="1"/>
    <col min="11" max="11" width="10.90625" bestFit="1" customWidth="1"/>
    <col min="12" max="12" width="7.453125" bestFit="1" customWidth="1"/>
    <col min="13" max="13" width="9.1796875" bestFit="1" customWidth="1"/>
    <col min="14" max="14" width="10.54296875" bestFit="1" customWidth="1"/>
    <col min="15" max="15" width="6.6328125" bestFit="1" customWidth="1"/>
    <col min="16" max="16" width="5.7265625" bestFit="1" customWidth="1"/>
    <col min="17" max="17" width="9" bestFit="1" customWidth="1"/>
    <col min="18" max="18" width="14.1796875" bestFit="1" customWidth="1"/>
    <col min="19" max="19" width="19.08984375" bestFit="1" customWidth="1"/>
  </cols>
  <sheetData>
    <row r="1" spans="1:18" ht="26" x14ac:dyDescent="0.6">
      <c r="G1" s="15" t="s">
        <v>149</v>
      </c>
    </row>
    <row r="2" spans="1:18" ht="21" x14ac:dyDescent="0.5">
      <c r="A2" s="14" t="s">
        <v>150</v>
      </c>
    </row>
    <row r="3" spans="1:18" ht="17" x14ac:dyDescent="0.4">
      <c r="B3" s="16" t="s">
        <v>147</v>
      </c>
      <c r="F3" s="16" t="s">
        <v>146</v>
      </c>
      <c r="I3" s="16" t="s">
        <v>148</v>
      </c>
    </row>
    <row r="5" spans="1:18" x14ac:dyDescent="0.35">
      <c r="B5" s="11" t="s">
        <v>135</v>
      </c>
      <c r="C5" t="s">
        <v>137</v>
      </c>
      <c r="F5" s="11" t="s">
        <v>135</v>
      </c>
      <c r="G5" t="s">
        <v>138</v>
      </c>
      <c r="I5" s="11" t="s">
        <v>139</v>
      </c>
      <c r="J5" s="11" t="s">
        <v>140</v>
      </c>
    </row>
    <row r="6" spans="1:18" x14ac:dyDescent="0.35">
      <c r="B6" s="12" t="s">
        <v>60</v>
      </c>
      <c r="C6" s="13">
        <v>3399.85</v>
      </c>
      <c r="F6" s="12" t="s">
        <v>103</v>
      </c>
      <c r="G6" s="13">
        <v>85</v>
      </c>
      <c r="I6" s="11" t="s">
        <v>135</v>
      </c>
      <c r="J6" t="s">
        <v>16</v>
      </c>
      <c r="K6" t="s">
        <v>12</v>
      </c>
      <c r="L6" t="s">
        <v>10</v>
      </c>
      <c r="M6" t="s">
        <v>21</v>
      </c>
      <c r="N6" t="s">
        <v>18</v>
      </c>
      <c r="O6" t="s">
        <v>14</v>
      </c>
      <c r="P6" t="s">
        <v>20</v>
      </c>
      <c r="Q6" t="s">
        <v>19</v>
      </c>
      <c r="R6" t="s">
        <v>136</v>
      </c>
    </row>
    <row r="7" spans="1:18" x14ac:dyDescent="0.35">
      <c r="B7" s="12" t="s">
        <v>74</v>
      </c>
      <c r="C7" s="13">
        <v>2300</v>
      </c>
      <c r="F7" s="12" t="s">
        <v>77</v>
      </c>
      <c r="G7" s="13">
        <v>80</v>
      </c>
      <c r="I7" s="12" t="s">
        <v>11</v>
      </c>
      <c r="J7" s="13"/>
      <c r="K7" s="13">
        <v>1</v>
      </c>
      <c r="L7" s="13">
        <v>6</v>
      </c>
      <c r="M7" s="13"/>
      <c r="N7" s="13"/>
      <c r="O7" s="13"/>
      <c r="P7" s="13">
        <v>1</v>
      </c>
      <c r="Q7" s="13"/>
      <c r="R7" s="13">
        <v>8</v>
      </c>
    </row>
    <row r="8" spans="1:18" x14ac:dyDescent="0.35">
      <c r="B8" s="12" t="s">
        <v>73</v>
      </c>
      <c r="C8" s="13">
        <v>2199.75</v>
      </c>
      <c r="F8" s="12" t="s">
        <v>101</v>
      </c>
      <c r="G8" s="13">
        <v>75</v>
      </c>
      <c r="I8" s="12" t="s">
        <v>15</v>
      </c>
      <c r="J8" s="13">
        <v>6</v>
      </c>
      <c r="K8" s="13"/>
      <c r="L8" s="13"/>
      <c r="M8" s="13">
        <v>1</v>
      </c>
      <c r="N8" s="13"/>
      <c r="O8" s="13"/>
      <c r="P8" s="13"/>
      <c r="Q8" s="13"/>
      <c r="R8" s="13">
        <v>7</v>
      </c>
    </row>
    <row r="9" spans="1:18" x14ac:dyDescent="0.35">
      <c r="B9" s="12" t="s">
        <v>72</v>
      </c>
      <c r="C9" s="13">
        <v>2100</v>
      </c>
      <c r="F9" s="12" t="s">
        <v>100</v>
      </c>
      <c r="G9" s="13">
        <v>70</v>
      </c>
      <c r="I9" s="12" t="s">
        <v>13</v>
      </c>
      <c r="J9" s="13"/>
      <c r="K9" s="13"/>
      <c r="L9" s="13"/>
      <c r="M9" s="13"/>
      <c r="N9" s="13"/>
      <c r="O9" s="13">
        <v>6</v>
      </c>
      <c r="P9" s="13"/>
      <c r="Q9" s="13"/>
      <c r="R9" s="13">
        <v>6</v>
      </c>
    </row>
    <row r="10" spans="1:18" x14ac:dyDescent="0.35">
      <c r="B10" s="12" t="s">
        <v>71</v>
      </c>
      <c r="C10" s="13">
        <v>2000.05</v>
      </c>
      <c r="F10" s="12" t="s">
        <v>76</v>
      </c>
      <c r="G10" s="13">
        <v>65</v>
      </c>
      <c r="I10" s="12" t="s">
        <v>75</v>
      </c>
      <c r="J10" s="13">
        <v>1</v>
      </c>
      <c r="K10" s="13">
        <v>3</v>
      </c>
      <c r="L10" s="13"/>
      <c r="M10" s="13"/>
      <c r="N10" s="13"/>
      <c r="O10" s="13"/>
      <c r="P10" s="13"/>
      <c r="Q10" s="13"/>
      <c r="R10" s="13">
        <v>4</v>
      </c>
    </row>
    <row r="11" spans="1:18" x14ac:dyDescent="0.35">
      <c r="B11" s="12" t="s">
        <v>69</v>
      </c>
      <c r="C11" s="13">
        <v>1800</v>
      </c>
      <c r="F11" s="12" t="s">
        <v>98</v>
      </c>
      <c r="G11" s="13">
        <v>60</v>
      </c>
      <c r="I11" s="12" t="s">
        <v>9</v>
      </c>
      <c r="J11" s="13"/>
      <c r="K11" s="13">
        <v>3</v>
      </c>
      <c r="L11" s="13">
        <v>1</v>
      </c>
      <c r="M11" s="13"/>
      <c r="N11" s="13"/>
      <c r="O11" s="13"/>
      <c r="P11" s="13"/>
      <c r="Q11" s="13"/>
      <c r="R11" s="13">
        <v>4</v>
      </c>
    </row>
    <row r="12" spans="1:18" x14ac:dyDescent="0.35">
      <c r="B12" s="12" t="s">
        <v>68</v>
      </c>
      <c r="C12" s="13">
        <v>1700.05</v>
      </c>
      <c r="F12" s="12" t="s">
        <v>82</v>
      </c>
      <c r="G12" s="13">
        <v>60</v>
      </c>
      <c r="I12" s="12" t="s">
        <v>17</v>
      </c>
      <c r="J12" s="13"/>
      <c r="K12" s="13"/>
      <c r="L12" s="13"/>
      <c r="M12" s="13"/>
      <c r="N12" s="13">
        <v>1</v>
      </c>
      <c r="O12" s="13"/>
      <c r="P12" s="13"/>
      <c r="Q12" s="13">
        <v>1</v>
      </c>
      <c r="R12" s="13">
        <v>2</v>
      </c>
    </row>
    <row r="13" spans="1:18" x14ac:dyDescent="0.35">
      <c r="B13" s="12" t="s">
        <v>67</v>
      </c>
      <c r="C13" s="13">
        <v>1600</v>
      </c>
      <c r="F13" s="12" t="s">
        <v>97</v>
      </c>
      <c r="G13" s="13">
        <v>55</v>
      </c>
      <c r="I13" s="12" t="s">
        <v>136</v>
      </c>
      <c r="J13" s="13">
        <v>7</v>
      </c>
      <c r="K13" s="13">
        <v>7</v>
      </c>
      <c r="L13" s="13">
        <v>7</v>
      </c>
      <c r="M13" s="13">
        <v>1</v>
      </c>
      <c r="N13" s="13">
        <v>1</v>
      </c>
      <c r="O13" s="13">
        <v>6</v>
      </c>
      <c r="P13" s="13">
        <v>1</v>
      </c>
      <c r="Q13" s="13">
        <v>1</v>
      </c>
      <c r="R13" s="13">
        <v>31</v>
      </c>
    </row>
    <row r="14" spans="1:18" x14ac:dyDescent="0.35">
      <c r="B14" s="12" t="s">
        <v>66</v>
      </c>
      <c r="C14" s="13">
        <v>1499.85</v>
      </c>
      <c r="F14" s="12" t="s">
        <v>87</v>
      </c>
      <c r="G14" s="13">
        <v>50</v>
      </c>
    </row>
    <row r="15" spans="1:18" ht="23.5" x14ac:dyDescent="0.55000000000000004">
      <c r="B15" s="12" t="s">
        <v>65</v>
      </c>
      <c r="C15" s="13">
        <v>1400</v>
      </c>
      <c r="F15" s="12" t="s">
        <v>96</v>
      </c>
      <c r="G15" s="13">
        <v>50</v>
      </c>
      <c r="R15" s="17" t="s">
        <v>149</v>
      </c>
    </row>
    <row r="16" spans="1:18" ht="21" x14ac:dyDescent="0.5">
      <c r="B16" s="12" t="s">
        <v>63</v>
      </c>
      <c r="C16" s="13">
        <v>1200.1499999999999</v>
      </c>
      <c r="F16" s="12" t="s">
        <v>81</v>
      </c>
      <c r="G16" s="13">
        <v>50</v>
      </c>
      <c r="I16" s="18" t="s">
        <v>151</v>
      </c>
    </row>
    <row r="17" spans="2:59" ht="17" x14ac:dyDescent="0.4">
      <c r="B17" s="12" t="s">
        <v>62</v>
      </c>
      <c r="C17" s="13">
        <v>1100.1000000000001</v>
      </c>
      <c r="F17" s="12" t="s">
        <v>95</v>
      </c>
      <c r="G17" s="13">
        <v>45</v>
      </c>
      <c r="I17" s="16" t="s">
        <v>147</v>
      </c>
      <c r="Q17" s="16" t="s">
        <v>146</v>
      </c>
      <c r="W17" s="16" t="s">
        <v>145</v>
      </c>
    </row>
    <row r="18" spans="2:59" x14ac:dyDescent="0.35">
      <c r="B18" s="12" t="s">
        <v>53</v>
      </c>
      <c r="C18" s="13">
        <v>1000.2</v>
      </c>
      <c r="F18" s="12" t="s">
        <v>86</v>
      </c>
      <c r="G18" s="13">
        <v>45</v>
      </c>
    </row>
    <row r="19" spans="2:59" x14ac:dyDescent="0.35">
      <c r="B19" s="12" t="s">
        <v>59</v>
      </c>
      <c r="C19" s="13">
        <v>800</v>
      </c>
      <c r="F19" s="12" t="s">
        <v>94</v>
      </c>
      <c r="G19" s="13">
        <v>40</v>
      </c>
    </row>
    <row r="20" spans="2:59" x14ac:dyDescent="0.35">
      <c r="B20" s="12" t="s">
        <v>58</v>
      </c>
      <c r="C20" s="13">
        <v>700</v>
      </c>
      <c r="F20" s="12" t="s">
        <v>85</v>
      </c>
      <c r="G20" s="13">
        <v>40</v>
      </c>
    </row>
    <row r="21" spans="2:59" x14ac:dyDescent="0.35">
      <c r="B21" s="12" t="s">
        <v>56</v>
      </c>
      <c r="C21" s="13">
        <v>600</v>
      </c>
      <c r="F21" s="12" t="s">
        <v>84</v>
      </c>
      <c r="G21" s="13">
        <v>35</v>
      </c>
    </row>
    <row r="22" spans="2:59" x14ac:dyDescent="0.35">
      <c r="B22" s="12" t="s">
        <v>57</v>
      </c>
      <c r="C22" s="13">
        <v>549.9</v>
      </c>
      <c r="F22" s="12" t="s">
        <v>92</v>
      </c>
      <c r="G22" s="13">
        <v>35</v>
      </c>
    </row>
    <row r="23" spans="2:59" x14ac:dyDescent="0.35">
      <c r="B23" s="12" t="s">
        <v>52</v>
      </c>
      <c r="C23" s="13">
        <v>500</v>
      </c>
      <c r="F23" s="12" t="s">
        <v>91</v>
      </c>
      <c r="G23" s="13">
        <v>30</v>
      </c>
    </row>
    <row r="24" spans="2:59" x14ac:dyDescent="0.35">
      <c r="B24" s="12" t="s">
        <v>55</v>
      </c>
      <c r="C24" s="13">
        <v>350</v>
      </c>
      <c r="F24" s="12" t="s">
        <v>89</v>
      </c>
      <c r="G24" s="13">
        <v>20</v>
      </c>
    </row>
    <row r="25" spans="2:59" x14ac:dyDescent="0.35">
      <c r="B25" s="12" t="s">
        <v>49</v>
      </c>
      <c r="C25" s="13">
        <v>200</v>
      </c>
      <c r="F25" s="12" t="s">
        <v>79</v>
      </c>
      <c r="G25" s="13">
        <v>15</v>
      </c>
    </row>
    <row r="26" spans="2:59" x14ac:dyDescent="0.35">
      <c r="B26" s="12" t="s">
        <v>50</v>
      </c>
      <c r="C26" s="13">
        <v>150</v>
      </c>
      <c r="F26" s="12" t="s">
        <v>78</v>
      </c>
      <c r="G26" s="13">
        <v>10</v>
      </c>
    </row>
    <row r="27" spans="2:59" ht="23.5" x14ac:dyDescent="0.55000000000000004">
      <c r="B27" s="12" t="s">
        <v>54</v>
      </c>
      <c r="C27" s="13">
        <v>0</v>
      </c>
      <c r="F27" s="12" t="s">
        <v>88</v>
      </c>
      <c r="G27" s="13">
        <v>5</v>
      </c>
      <c r="BB27" s="17" t="s">
        <v>149</v>
      </c>
    </row>
    <row r="28" spans="2:59" ht="21" x14ac:dyDescent="0.5">
      <c r="B28" s="12" t="s">
        <v>64</v>
      </c>
      <c r="C28" s="13">
        <v>0</v>
      </c>
      <c r="F28" s="12" t="s">
        <v>90</v>
      </c>
      <c r="G28" s="13">
        <v>0</v>
      </c>
      <c r="AS28" s="18" t="s">
        <v>151</v>
      </c>
    </row>
    <row r="29" spans="2:59" ht="17" x14ac:dyDescent="0.4">
      <c r="B29" s="12" t="s">
        <v>61</v>
      </c>
      <c r="C29" s="13">
        <v>0</v>
      </c>
      <c r="F29" s="12" t="s">
        <v>99</v>
      </c>
      <c r="G29" s="13">
        <v>0</v>
      </c>
      <c r="AS29" s="16" t="s">
        <v>147</v>
      </c>
      <c r="BA29" s="16" t="s">
        <v>146</v>
      </c>
      <c r="BG29" s="16" t="s">
        <v>145</v>
      </c>
    </row>
    <row r="30" spans="2:59" x14ac:dyDescent="0.35">
      <c r="B30" s="12" t="s">
        <v>70</v>
      </c>
      <c r="C30" s="13">
        <v>0</v>
      </c>
      <c r="F30" s="12" t="s">
        <v>93</v>
      </c>
      <c r="G30" s="13">
        <v>0</v>
      </c>
    </row>
    <row r="31" spans="2:59" x14ac:dyDescent="0.35">
      <c r="B31" s="12" t="s">
        <v>51</v>
      </c>
      <c r="C31" s="13">
        <v>0</v>
      </c>
      <c r="F31" s="12" t="s">
        <v>83</v>
      </c>
      <c r="G31" s="13">
        <v>0</v>
      </c>
    </row>
    <row r="32" spans="2:59" x14ac:dyDescent="0.35">
      <c r="B32" s="12" t="s">
        <v>136</v>
      </c>
      <c r="C32" s="13">
        <v>27149.899999999998</v>
      </c>
      <c r="F32" s="12" t="s">
        <v>80</v>
      </c>
      <c r="G32" s="13">
        <v>0</v>
      </c>
    </row>
    <row r="33" spans="2:53" x14ac:dyDescent="0.35">
      <c r="F33" s="12" t="s">
        <v>102</v>
      </c>
      <c r="G33" s="13">
        <v>0</v>
      </c>
    </row>
    <row r="34" spans="2:53" x14ac:dyDescent="0.35">
      <c r="F34" s="12" t="s">
        <v>136</v>
      </c>
      <c r="G34" s="13">
        <v>1020</v>
      </c>
    </row>
    <row r="36" spans="2:53" ht="17" x14ac:dyDescent="0.4">
      <c r="I36" s="16" t="s">
        <v>148</v>
      </c>
      <c r="Q36" s="16" t="s">
        <v>144</v>
      </c>
    </row>
    <row r="38" spans="2:53" ht="17" x14ac:dyDescent="0.4">
      <c r="B38" s="16" t="s">
        <v>144</v>
      </c>
      <c r="F38" s="16" t="s">
        <v>145</v>
      </c>
    </row>
    <row r="40" spans="2:53" x14ac:dyDescent="0.35">
      <c r="B40" s="11" t="s">
        <v>135</v>
      </c>
      <c r="C40" t="s">
        <v>137</v>
      </c>
      <c r="F40" s="11" t="s">
        <v>135</v>
      </c>
      <c r="G40" t="s">
        <v>137</v>
      </c>
    </row>
    <row r="41" spans="2:53" x14ac:dyDescent="0.35">
      <c r="B41" s="12" t="s">
        <v>15</v>
      </c>
      <c r="C41" s="13">
        <v>8299.9</v>
      </c>
      <c r="F41" s="12" t="s">
        <v>141</v>
      </c>
      <c r="G41" s="13">
        <v>5750.1</v>
      </c>
    </row>
    <row r="42" spans="2:53" x14ac:dyDescent="0.35">
      <c r="B42" s="12" t="s">
        <v>13</v>
      </c>
      <c r="C42" s="13">
        <v>5950.2</v>
      </c>
      <c r="F42" s="12" t="s">
        <v>142</v>
      </c>
      <c r="G42" s="13">
        <v>14400.199999999999</v>
      </c>
    </row>
    <row r="43" spans="2:53" x14ac:dyDescent="0.35">
      <c r="B43" s="12" t="s">
        <v>11</v>
      </c>
      <c r="C43" s="13">
        <v>4900.1000000000004</v>
      </c>
      <c r="F43" s="12" t="s">
        <v>143</v>
      </c>
      <c r="G43" s="13">
        <v>6999.6</v>
      </c>
    </row>
    <row r="44" spans="2:53" x14ac:dyDescent="0.35">
      <c r="B44" s="12" t="s">
        <v>17</v>
      </c>
      <c r="C44" s="13">
        <v>4499.75</v>
      </c>
      <c r="F44" s="12" t="s">
        <v>136</v>
      </c>
      <c r="G44" s="13">
        <v>27149.9</v>
      </c>
    </row>
    <row r="45" spans="2:53" x14ac:dyDescent="0.35">
      <c r="B45" s="12" t="s">
        <v>9</v>
      </c>
      <c r="C45" s="13">
        <v>2399.85</v>
      </c>
    </row>
    <row r="46" spans="2:53" x14ac:dyDescent="0.35">
      <c r="B46" s="12" t="s">
        <v>75</v>
      </c>
      <c r="C46" s="13">
        <v>1100.1000000000001</v>
      </c>
    </row>
    <row r="47" spans="2:53" x14ac:dyDescent="0.35">
      <c r="B47" s="12" t="s">
        <v>136</v>
      </c>
      <c r="C47" s="13">
        <v>27149.899999999998</v>
      </c>
    </row>
    <row r="48" spans="2:53" ht="17" x14ac:dyDescent="0.4">
      <c r="AS48" s="16" t="s">
        <v>148</v>
      </c>
      <c r="BA48" s="16" t="s">
        <v>144</v>
      </c>
    </row>
    <row r="65" spans="4:20" x14ac:dyDescent="0.35">
      <c r="D65" t="s">
        <v>27</v>
      </c>
      <c r="J65" t="s">
        <v>48</v>
      </c>
    </row>
    <row r="66" spans="4:20" ht="21" x14ac:dyDescent="0.5">
      <c r="J66" s="6" t="s">
        <v>38</v>
      </c>
      <c r="K66" s="6" t="s">
        <v>39</v>
      </c>
      <c r="L66" s="6" t="s">
        <v>40</v>
      </c>
      <c r="M66" s="6" t="s">
        <v>41</v>
      </c>
      <c r="N66" s="6" t="s">
        <v>42</v>
      </c>
      <c r="O66" s="6" t="s">
        <v>43</v>
      </c>
      <c r="P66" s="6" t="s">
        <v>44</v>
      </c>
      <c r="Q66" s="6" t="s">
        <v>45</v>
      </c>
      <c r="R66" s="6" t="s">
        <v>46</v>
      </c>
      <c r="S66" s="6" t="s">
        <v>47</v>
      </c>
      <c r="T66" s="9" t="s">
        <v>133</v>
      </c>
    </row>
    <row r="67" spans="4:20" ht="21" x14ac:dyDescent="0.5">
      <c r="D67" s="5" t="s">
        <v>28</v>
      </c>
      <c r="J67" s="6" t="s">
        <v>31</v>
      </c>
      <c r="K67" s="6">
        <v>101</v>
      </c>
      <c r="L67" s="6" t="s">
        <v>32</v>
      </c>
      <c r="M67" s="6">
        <v>45</v>
      </c>
      <c r="N67" s="6">
        <v>100</v>
      </c>
      <c r="O67" s="6">
        <v>68</v>
      </c>
      <c r="P67" s="6">
        <v>93</v>
      </c>
      <c r="Q67" s="6">
        <v>98</v>
      </c>
      <c r="R67" s="6">
        <v>90</v>
      </c>
      <c r="S67" s="6">
        <v>99</v>
      </c>
      <c r="T67" s="10">
        <f>SUM(M67:S67)</f>
        <v>593</v>
      </c>
    </row>
    <row r="68" spans="4:20" ht="21" x14ac:dyDescent="0.5">
      <c r="D68" t="s">
        <v>22</v>
      </c>
      <c r="J68" s="6" t="s">
        <v>31</v>
      </c>
      <c r="K68" s="6">
        <v>102</v>
      </c>
      <c r="L68" s="6" t="s">
        <v>33</v>
      </c>
      <c r="M68" s="6">
        <v>80</v>
      </c>
      <c r="N68" s="6">
        <v>80</v>
      </c>
      <c r="O68" s="6">
        <v>55</v>
      </c>
      <c r="P68" s="6">
        <v>45</v>
      </c>
      <c r="Q68" s="6">
        <v>97</v>
      </c>
      <c r="R68" s="6">
        <v>89</v>
      </c>
      <c r="S68" s="6">
        <v>88</v>
      </c>
      <c r="T68" s="10">
        <f>SUM(M68:S68)</f>
        <v>534</v>
      </c>
    </row>
    <row r="69" spans="4:20" ht="21" x14ac:dyDescent="0.5">
      <c r="D69" t="s">
        <v>23</v>
      </c>
      <c r="J69" s="6" t="s">
        <v>34</v>
      </c>
      <c r="K69" s="6">
        <v>103</v>
      </c>
      <c r="L69" s="6" t="s">
        <v>35</v>
      </c>
      <c r="M69" s="6">
        <v>90</v>
      </c>
      <c r="N69" s="6">
        <v>50</v>
      </c>
      <c r="O69" s="6">
        <v>65</v>
      </c>
      <c r="P69" s="6">
        <v>78</v>
      </c>
      <c r="Q69" s="6">
        <v>96</v>
      </c>
      <c r="R69" s="6">
        <v>88</v>
      </c>
      <c r="S69" s="6">
        <v>77</v>
      </c>
      <c r="T69" s="10">
        <f>SUM(M69:S69)</f>
        <v>544</v>
      </c>
    </row>
    <row r="70" spans="4:20" ht="21" x14ac:dyDescent="0.5">
      <c r="D70" t="s">
        <v>24</v>
      </c>
      <c r="J70" s="6" t="s">
        <v>31</v>
      </c>
      <c r="K70" s="6">
        <v>104</v>
      </c>
      <c r="L70" s="6" t="s">
        <v>36</v>
      </c>
      <c r="M70" s="6">
        <v>75</v>
      </c>
      <c r="N70" s="6">
        <v>59</v>
      </c>
      <c r="O70" s="6">
        <v>79</v>
      </c>
      <c r="P70" s="6">
        <v>87</v>
      </c>
      <c r="Q70" s="6">
        <v>95</v>
      </c>
      <c r="R70" s="6">
        <v>77</v>
      </c>
      <c r="S70" s="6">
        <v>66</v>
      </c>
      <c r="T70" s="10">
        <f>SUM(M70:S70)</f>
        <v>538</v>
      </c>
    </row>
    <row r="71" spans="4:20" ht="21" x14ac:dyDescent="0.5">
      <c r="D71" t="s">
        <v>25</v>
      </c>
      <c r="J71" s="6" t="s">
        <v>34</v>
      </c>
      <c r="K71" s="6">
        <v>105</v>
      </c>
      <c r="L71" s="6" t="s">
        <v>37</v>
      </c>
      <c r="M71" s="6">
        <v>35</v>
      </c>
      <c r="N71" s="6">
        <v>100</v>
      </c>
      <c r="O71" s="6">
        <v>79</v>
      </c>
      <c r="P71" s="6">
        <v>69</v>
      </c>
      <c r="Q71" s="6">
        <v>94</v>
      </c>
      <c r="R71" s="6">
        <v>66</v>
      </c>
      <c r="S71" s="6">
        <v>55</v>
      </c>
      <c r="T71" s="10">
        <f>SUM(M71:S71)</f>
        <v>498</v>
      </c>
    </row>
    <row r="72" spans="4:20" x14ac:dyDescent="0.35">
      <c r="D72" t="s">
        <v>26</v>
      </c>
    </row>
    <row r="74" spans="4:20" x14ac:dyDescent="0.35">
      <c r="D74" s="5" t="s">
        <v>29</v>
      </c>
    </row>
  </sheetData>
  <conditionalFormatting sqref="T67:T71">
    <cfRule type="cellIs" dxfId="3" priority="2" operator="greaterThan">
      <formula>550</formula>
    </cfRule>
  </conditionalFormatting>
  <conditionalFormatting sqref="N67:N71">
    <cfRule type="duplicateValues" dxfId="2" priority="1"/>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F75"/>
  <sheetViews>
    <sheetView tabSelected="1" zoomScale="56" zoomScaleNormal="73" workbookViewId="0">
      <selection activeCell="H36" sqref="H36"/>
    </sheetView>
  </sheetViews>
  <sheetFormatPr defaultRowHeight="14.5" x14ac:dyDescent="0.35"/>
  <cols>
    <col min="1" max="1" width="13.453125" customWidth="1"/>
    <col min="2" max="2" width="12.453125" customWidth="1"/>
    <col min="3" max="3" width="22.1796875" customWidth="1"/>
    <col min="4" max="4" width="13.36328125" customWidth="1"/>
    <col min="5" max="5" width="13.453125" customWidth="1"/>
    <col min="6" max="6" width="20.08984375" customWidth="1"/>
    <col min="7" max="7" width="13.26953125" customWidth="1"/>
    <col min="8" max="8" width="22.08984375" customWidth="1"/>
    <col min="9" max="9" width="10.81640625" customWidth="1"/>
    <col min="10" max="10" width="16.26953125" customWidth="1"/>
    <col min="11" max="11" width="16.7265625" customWidth="1"/>
    <col min="12" max="12" width="16.36328125" customWidth="1"/>
    <col min="13" max="13" width="14.453125" customWidth="1"/>
    <col min="14" max="14" width="8.1796875" bestFit="1" customWidth="1"/>
    <col min="15" max="15" width="17.81640625" customWidth="1"/>
    <col min="16" max="16" width="18.7265625" customWidth="1"/>
    <col min="19" max="19" width="13.1796875" customWidth="1"/>
    <col min="20" max="20" width="14.36328125" customWidth="1"/>
    <col min="23" max="23" width="18.1796875" customWidth="1"/>
    <col min="25" max="25" width="20.26953125" customWidth="1"/>
    <col min="26" max="26" width="14.1796875" customWidth="1"/>
    <col min="27" max="27" width="16.6328125" customWidth="1"/>
    <col min="28" max="28" width="8" customWidth="1"/>
    <col min="32" max="32" width="11.453125" customWidth="1"/>
  </cols>
  <sheetData>
    <row r="3" spans="1:32" ht="39.5" x14ac:dyDescent="0.35">
      <c r="A3" s="1" t="s">
        <v>0</v>
      </c>
      <c r="B3" s="1"/>
      <c r="C3" s="1"/>
      <c r="D3" s="1"/>
      <c r="E3" s="1"/>
      <c r="F3" s="1"/>
      <c r="G3" s="1"/>
      <c r="H3" s="1"/>
      <c r="I3" s="1"/>
      <c r="J3" s="1"/>
      <c r="K3" s="1"/>
    </row>
    <row r="4" spans="1:32" x14ac:dyDescent="0.35">
      <c r="A4" s="8" t="s">
        <v>1</v>
      </c>
      <c r="B4" s="2" t="s">
        <v>2</v>
      </c>
      <c r="C4" s="2" t="s">
        <v>3</v>
      </c>
      <c r="D4" s="2" t="s">
        <v>4</v>
      </c>
      <c r="E4" s="2" t="s">
        <v>5</v>
      </c>
      <c r="F4" s="2" t="s">
        <v>6</v>
      </c>
      <c r="G4" s="2" t="s">
        <v>30</v>
      </c>
      <c r="H4" s="2" t="s">
        <v>104</v>
      </c>
      <c r="I4" s="2" t="s">
        <v>7</v>
      </c>
      <c r="J4" s="2" t="s">
        <v>8</v>
      </c>
      <c r="K4" s="2" t="s">
        <v>134</v>
      </c>
    </row>
    <row r="5" spans="1:32" ht="19" customHeight="1" x14ac:dyDescent="0.6">
      <c r="A5" s="7">
        <v>44227</v>
      </c>
      <c r="B5" s="3">
        <v>1</v>
      </c>
      <c r="C5" s="3" t="s">
        <v>49</v>
      </c>
      <c r="D5" s="3" t="s">
        <v>9</v>
      </c>
      <c r="E5" s="3" t="s">
        <v>10</v>
      </c>
      <c r="F5" s="3" t="s">
        <v>78</v>
      </c>
      <c r="G5" s="3" t="s">
        <v>105</v>
      </c>
      <c r="H5" s="3" t="s">
        <v>106</v>
      </c>
      <c r="I5" s="3">
        <v>10</v>
      </c>
      <c r="J5" s="4">
        <v>20</v>
      </c>
      <c r="K5">
        <f>I5*J5</f>
        <v>200</v>
      </c>
      <c r="P5" s="15" t="s">
        <v>149</v>
      </c>
    </row>
    <row r="6" spans="1:32" ht="16.5" customHeight="1" x14ac:dyDescent="0.5">
      <c r="A6" s="7">
        <v>44255</v>
      </c>
      <c r="B6" s="3">
        <v>2</v>
      </c>
      <c r="C6" s="3" t="s">
        <v>50</v>
      </c>
      <c r="D6" s="3" t="s">
        <v>11</v>
      </c>
      <c r="E6" s="3" t="s">
        <v>12</v>
      </c>
      <c r="F6" s="3" t="s">
        <v>79</v>
      </c>
      <c r="G6" s="3" t="s">
        <v>107</v>
      </c>
      <c r="H6" s="3" t="s">
        <v>108</v>
      </c>
      <c r="I6" s="3">
        <v>15</v>
      </c>
      <c r="J6" s="4">
        <v>10</v>
      </c>
      <c r="K6">
        <f>I6*J6</f>
        <v>150</v>
      </c>
      <c r="N6" s="18" t="s">
        <v>150</v>
      </c>
    </row>
    <row r="7" spans="1:32" ht="17" x14ac:dyDescent="0.4">
      <c r="A7" s="7">
        <v>44286</v>
      </c>
      <c r="B7" s="3">
        <v>3</v>
      </c>
      <c r="C7" s="3" t="s">
        <v>51</v>
      </c>
      <c r="D7" s="3" t="s">
        <v>13</v>
      </c>
      <c r="E7" s="3" t="s">
        <v>14</v>
      </c>
      <c r="F7" s="3" t="s">
        <v>80</v>
      </c>
      <c r="G7" s="3" t="s">
        <v>109</v>
      </c>
      <c r="H7" s="3" t="s">
        <v>110</v>
      </c>
      <c r="I7" s="3">
        <v>0</v>
      </c>
      <c r="J7" s="3">
        <v>0</v>
      </c>
      <c r="K7">
        <f>I7*J7</f>
        <v>0</v>
      </c>
      <c r="O7" s="16" t="s">
        <v>147</v>
      </c>
      <c r="S7" s="16" t="s">
        <v>146</v>
      </c>
      <c r="W7" s="16" t="s">
        <v>148</v>
      </c>
    </row>
    <row r="8" spans="1:32" x14ac:dyDescent="0.35">
      <c r="A8" s="7">
        <v>44316</v>
      </c>
      <c r="B8" s="3">
        <v>4</v>
      </c>
      <c r="C8" s="3" t="s">
        <v>52</v>
      </c>
      <c r="D8" s="3" t="s">
        <v>15</v>
      </c>
      <c r="E8" s="3" t="s">
        <v>16</v>
      </c>
      <c r="F8" s="3" t="s">
        <v>81</v>
      </c>
      <c r="G8" s="3" t="s">
        <v>111</v>
      </c>
      <c r="H8" s="3" t="s">
        <v>112</v>
      </c>
      <c r="I8" s="3">
        <v>25</v>
      </c>
      <c r="J8" s="4">
        <v>10</v>
      </c>
      <c r="K8">
        <f>I8*J8</f>
        <v>250</v>
      </c>
      <c r="V8" s="5"/>
    </row>
    <row r="9" spans="1:32" x14ac:dyDescent="0.35">
      <c r="A9" s="7">
        <v>44347</v>
      </c>
      <c r="B9" s="3">
        <v>5</v>
      </c>
      <c r="C9" s="3" t="s">
        <v>53</v>
      </c>
      <c r="D9" s="3" t="s">
        <v>11</v>
      </c>
      <c r="E9" s="3" t="s">
        <v>10</v>
      </c>
      <c r="F9" s="3" t="s">
        <v>82</v>
      </c>
      <c r="G9" s="3" t="s">
        <v>113</v>
      </c>
      <c r="H9" s="3" t="s">
        <v>114</v>
      </c>
      <c r="I9" s="3">
        <v>30</v>
      </c>
      <c r="J9" s="4">
        <v>16.670000000000002</v>
      </c>
      <c r="K9">
        <f>I9*J9</f>
        <v>500.1</v>
      </c>
      <c r="O9" s="11" t="s">
        <v>135</v>
      </c>
      <c r="P9" t="s">
        <v>137</v>
      </c>
      <c r="S9" s="11" t="s">
        <v>135</v>
      </c>
      <c r="T9" t="s">
        <v>138</v>
      </c>
      <c r="W9" s="11" t="s">
        <v>139</v>
      </c>
      <c r="X9" s="11" t="s">
        <v>140</v>
      </c>
    </row>
    <row r="10" spans="1:32" x14ac:dyDescent="0.35">
      <c r="A10" s="7">
        <v>44377</v>
      </c>
      <c r="B10" s="3">
        <v>6</v>
      </c>
      <c r="C10" s="3" t="s">
        <v>54</v>
      </c>
      <c r="D10" s="3" t="s">
        <v>75</v>
      </c>
      <c r="E10" s="3" t="s">
        <v>12</v>
      </c>
      <c r="F10" s="3" t="s">
        <v>83</v>
      </c>
      <c r="G10" s="3" t="s">
        <v>115</v>
      </c>
      <c r="H10" s="3" t="s">
        <v>116</v>
      </c>
      <c r="I10" s="3">
        <v>0</v>
      </c>
      <c r="J10" s="3">
        <v>0</v>
      </c>
      <c r="K10">
        <f>I10*J10</f>
        <v>0</v>
      </c>
      <c r="O10" s="12" t="s">
        <v>60</v>
      </c>
      <c r="P10" s="13">
        <v>3399.85</v>
      </c>
      <c r="S10" s="12" t="s">
        <v>103</v>
      </c>
      <c r="T10" s="13">
        <v>85</v>
      </c>
      <c r="W10" s="11" t="s">
        <v>135</v>
      </c>
      <c r="X10" t="s">
        <v>16</v>
      </c>
      <c r="Y10" t="s">
        <v>12</v>
      </c>
      <c r="Z10" t="s">
        <v>10</v>
      </c>
      <c r="AA10" t="s">
        <v>21</v>
      </c>
      <c r="AB10" t="s">
        <v>18</v>
      </c>
      <c r="AC10" t="s">
        <v>14</v>
      </c>
      <c r="AD10" t="s">
        <v>20</v>
      </c>
      <c r="AE10" t="s">
        <v>19</v>
      </c>
      <c r="AF10" t="s">
        <v>136</v>
      </c>
    </row>
    <row r="11" spans="1:32" x14ac:dyDescent="0.35">
      <c r="A11" s="7">
        <v>44408</v>
      </c>
      <c r="B11" s="3">
        <v>7</v>
      </c>
      <c r="C11" s="3" t="s">
        <v>55</v>
      </c>
      <c r="D11" s="3" t="s">
        <v>13</v>
      </c>
      <c r="E11" s="3" t="s">
        <v>14</v>
      </c>
      <c r="F11" s="3" t="s">
        <v>84</v>
      </c>
      <c r="G11" s="3" t="s">
        <v>117</v>
      </c>
      <c r="H11" s="3" t="s">
        <v>118</v>
      </c>
      <c r="I11" s="3">
        <v>35</v>
      </c>
      <c r="J11" s="4">
        <v>10</v>
      </c>
      <c r="K11">
        <f>I11*J11</f>
        <v>350</v>
      </c>
      <c r="O11" s="12" t="s">
        <v>74</v>
      </c>
      <c r="P11" s="13">
        <v>2300</v>
      </c>
      <c r="S11" s="12" t="s">
        <v>77</v>
      </c>
      <c r="T11" s="13">
        <v>80</v>
      </c>
      <c r="W11" s="12" t="s">
        <v>11</v>
      </c>
      <c r="X11" s="13"/>
      <c r="Y11" s="13">
        <v>1</v>
      </c>
      <c r="Z11" s="13">
        <v>6</v>
      </c>
      <c r="AA11" s="13"/>
      <c r="AB11" s="13"/>
      <c r="AC11" s="13"/>
      <c r="AD11" s="13">
        <v>1</v>
      </c>
      <c r="AE11" s="13"/>
      <c r="AF11" s="13">
        <v>8</v>
      </c>
    </row>
    <row r="12" spans="1:32" x14ac:dyDescent="0.35">
      <c r="A12" s="7">
        <v>44439</v>
      </c>
      <c r="B12" s="3">
        <v>8</v>
      </c>
      <c r="C12" s="3" t="s">
        <v>56</v>
      </c>
      <c r="D12" s="3" t="s">
        <v>15</v>
      </c>
      <c r="E12" s="3" t="s">
        <v>16</v>
      </c>
      <c r="F12" s="3" t="s">
        <v>85</v>
      </c>
      <c r="G12" s="3" t="s">
        <v>119</v>
      </c>
      <c r="H12" s="3" t="s">
        <v>120</v>
      </c>
      <c r="I12" s="3">
        <v>40</v>
      </c>
      <c r="J12" s="4">
        <v>15</v>
      </c>
      <c r="K12">
        <f>I12*J12</f>
        <v>600</v>
      </c>
      <c r="O12" s="12" t="s">
        <v>73</v>
      </c>
      <c r="P12" s="13">
        <v>2199.75</v>
      </c>
      <c r="S12" s="12" t="s">
        <v>101</v>
      </c>
      <c r="T12" s="13">
        <v>75</v>
      </c>
      <c r="W12" s="12" t="s">
        <v>15</v>
      </c>
      <c r="X12" s="13">
        <v>6</v>
      </c>
      <c r="Y12" s="13"/>
      <c r="Z12" s="13"/>
      <c r="AA12" s="13">
        <v>1</v>
      </c>
      <c r="AB12" s="13"/>
      <c r="AC12" s="13"/>
      <c r="AD12" s="13"/>
      <c r="AE12" s="13"/>
      <c r="AF12" s="13">
        <v>7</v>
      </c>
    </row>
    <row r="13" spans="1:32" x14ac:dyDescent="0.35">
      <c r="A13" s="7">
        <v>44469</v>
      </c>
      <c r="B13" s="3">
        <v>9</v>
      </c>
      <c r="C13" s="3" t="s">
        <v>57</v>
      </c>
      <c r="D13" s="3" t="s">
        <v>11</v>
      </c>
      <c r="E13" s="3" t="s">
        <v>10</v>
      </c>
      <c r="F13" s="3" t="s">
        <v>86</v>
      </c>
      <c r="G13" s="3" t="s">
        <v>121</v>
      </c>
      <c r="H13" s="3" t="s">
        <v>122</v>
      </c>
      <c r="I13" s="3">
        <v>45</v>
      </c>
      <c r="J13" s="4">
        <v>12.22</v>
      </c>
      <c r="K13">
        <f>I13*J13</f>
        <v>549.9</v>
      </c>
      <c r="O13" s="12" t="s">
        <v>72</v>
      </c>
      <c r="P13" s="13">
        <v>2100</v>
      </c>
      <c r="S13" s="12" t="s">
        <v>100</v>
      </c>
      <c r="T13" s="13">
        <v>70</v>
      </c>
      <c r="W13" s="12" t="s">
        <v>13</v>
      </c>
      <c r="X13" s="13"/>
      <c r="Y13" s="13"/>
      <c r="Z13" s="13"/>
      <c r="AA13" s="13"/>
      <c r="AB13" s="13"/>
      <c r="AC13" s="13">
        <v>6</v>
      </c>
      <c r="AD13" s="13"/>
      <c r="AE13" s="13"/>
      <c r="AF13" s="13">
        <v>6</v>
      </c>
    </row>
    <row r="14" spans="1:32" x14ac:dyDescent="0.35">
      <c r="A14" s="7">
        <v>44500</v>
      </c>
      <c r="B14" s="3">
        <v>10</v>
      </c>
      <c r="C14" s="3" t="s">
        <v>58</v>
      </c>
      <c r="D14" s="3" t="s">
        <v>9</v>
      </c>
      <c r="E14" s="3" t="s">
        <v>12</v>
      </c>
      <c r="F14" s="3" t="s">
        <v>87</v>
      </c>
      <c r="G14" s="3" t="s">
        <v>123</v>
      </c>
      <c r="H14" s="3" t="s">
        <v>124</v>
      </c>
      <c r="I14" s="3">
        <v>50</v>
      </c>
      <c r="J14" s="4">
        <v>14</v>
      </c>
      <c r="K14">
        <f>I14*J14</f>
        <v>700</v>
      </c>
      <c r="O14" s="12" t="s">
        <v>71</v>
      </c>
      <c r="P14" s="13">
        <v>2000.05</v>
      </c>
      <c r="S14" s="12" t="s">
        <v>76</v>
      </c>
      <c r="T14" s="13">
        <v>65</v>
      </c>
      <c r="W14" s="12" t="s">
        <v>75</v>
      </c>
      <c r="X14" s="13">
        <v>1</v>
      </c>
      <c r="Y14" s="13">
        <v>3</v>
      </c>
      <c r="Z14" s="13"/>
      <c r="AA14" s="13"/>
      <c r="AB14" s="13"/>
      <c r="AC14" s="13"/>
      <c r="AD14" s="13"/>
      <c r="AE14" s="13"/>
      <c r="AF14" s="13">
        <v>4</v>
      </c>
    </row>
    <row r="15" spans="1:32" x14ac:dyDescent="0.35">
      <c r="A15" s="7">
        <v>44530</v>
      </c>
      <c r="B15" s="3">
        <v>11</v>
      </c>
      <c r="C15" s="3" t="s">
        <v>59</v>
      </c>
      <c r="D15" s="3" t="s">
        <v>13</v>
      </c>
      <c r="E15" s="3" t="s">
        <v>14</v>
      </c>
      <c r="F15" s="3" t="s">
        <v>88</v>
      </c>
      <c r="G15" s="3" t="s">
        <v>125</v>
      </c>
      <c r="H15" s="3" t="s">
        <v>126</v>
      </c>
      <c r="I15" s="3">
        <v>5</v>
      </c>
      <c r="J15" s="4">
        <v>160</v>
      </c>
      <c r="K15">
        <f>I15*J15</f>
        <v>800</v>
      </c>
      <c r="O15" s="12" t="s">
        <v>69</v>
      </c>
      <c r="P15" s="13">
        <v>1800</v>
      </c>
      <c r="S15" s="12" t="s">
        <v>98</v>
      </c>
      <c r="T15" s="13">
        <v>60</v>
      </c>
      <c r="W15" s="12" t="s">
        <v>9</v>
      </c>
      <c r="X15" s="13"/>
      <c r="Y15" s="13">
        <v>3</v>
      </c>
      <c r="Z15" s="13">
        <v>1</v>
      </c>
      <c r="AA15" s="13"/>
      <c r="AB15" s="13"/>
      <c r="AC15" s="13"/>
      <c r="AD15" s="13"/>
      <c r="AE15" s="13"/>
      <c r="AF15" s="13">
        <v>4</v>
      </c>
    </row>
    <row r="16" spans="1:32" x14ac:dyDescent="0.35">
      <c r="A16" s="7">
        <v>44561</v>
      </c>
      <c r="B16" s="3">
        <v>12</v>
      </c>
      <c r="C16" s="3" t="s">
        <v>60</v>
      </c>
      <c r="D16" s="3" t="s">
        <v>15</v>
      </c>
      <c r="E16" s="3" t="s">
        <v>16</v>
      </c>
      <c r="F16" s="3" t="s">
        <v>89</v>
      </c>
      <c r="G16" s="3" t="s">
        <v>127</v>
      </c>
      <c r="H16" s="3" t="s">
        <v>128</v>
      </c>
      <c r="I16" s="3">
        <v>20</v>
      </c>
      <c r="J16" s="4">
        <v>45</v>
      </c>
      <c r="K16">
        <f>I16*J16</f>
        <v>900</v>
      </c>
      <c r="O16" s="12" t="s">
        <v>68</v>
      </c>
      <c r="P16" s="13">
        <v>1700.05</v>
      </c>
      <c r="S16" s="12" t="s">
        <v>82</v>
      </c>
      <c r="T16" s="13">
        <v>60</v>
      </c>
      <c r="W16" s="12" t="s">
        <v>17</v>
      </c>
      <c r="X16" s="13"/>
      <c r="Y16" s="13"/>
      <c r="Z16" s="13"/>
      <c r="AA16" s="13"/>
      <c r="AB16" s="13">
        <v>1</v>
      </c>
      <c r="AC16" s="13"/>
      <c r="AD16" s="13"/>
      <c r="AE16" s="13">
        <v>1</v>
      </c>
      <c r="AF16" s="13">
        <v>2</v>
      </c>
    </row>
    <row r="17" spans="1:32" x14ac:dyDescent="0.35">
      <c r="A17" s="7">
        <v>44592</v>
      </c>
      <c r="B17" s="3">
        <v>13</v>
      </c>
      <c r="C17" s="3" t="s">
        <v>61</v>
      </c>
      <c r="D17" s="3" t="s">
        <v>11</v>
      </c>
      <c r="E17" s="3" t="s">
        <v>10</v>
      </c>
      <c r="F17" s="3" t="s">
        <v>90</v>
      </c>
      <c r="G17" s="3" t="s">
        <v>129</v>
      </c>
      <c r="H17" s="3" t="s">
        <v>130</v>
      </c>
      <c r="I17" s="3">
        <v>0</v>
      </c>
      <c r="J17" s="3">
        <v>0</v>
      </c>
      <c r="K17">
        <f>I17*J17</f>
        <v>0</v>
      </c>
      <c r="O17" s="12" t="s">
        <v>67</v>
      </c>
      <c r="P17" s="13">
        <v>1600</v>
      </c>
      <c r="S17" s="12" t="s">
        <v>97</v>
      </c>
      <c r="T17" s="13">
        <v>55</v>
      </c>
      <c r="W17" s="12" t="s">
        <v>136</v>
      </c>
      <c r="X17" s="13">
        <v>7</v>
      </c>
      <c r="Y17" s="13">
        <v>7</v>
      </c>
      <c r="Z17" s="13">
        <v>7</v>
      </c>
      <c r="AA17" s="13">
        <v>1</v>
      </c>
      <c r="AB17" s="13">
        <v>1</v>
      </c>
      <c r="AC17" s="13">
        <v>6</v>
      </c>
      <c r="AD17" s="13">
        <v>1</v>
      </c>
      <c r="AE17" s="13">
        <v>1</v>
      </c>
      <c r="AF17" s="13">
        <v>31</v>
      </c>
    </row>
    <row r="18" spans="1:32" x14ac:dyDescent="0.35">
      <c r="A18" s="7">
        <v>44620</v>
      </c>
      <c r="B18" s="3">
        <v>14</v>
      </c>
      <c r="C18" s="3" t="s">
        <v>62</v>
      </c>
      <c r="D18" s="3" t="s">
        <v>75</v>
      </c>
      <c r="E18" s="3" t="s">
        <v>12</v>
      </c>
      <c r="F18" s="3" t="s">
        <v>91</v>
      </c>
      <c r="G18" s="3" t="s">
        <v>131</v>
      </c>
      <c r="H18" s="3" t="s">
        <v>132</v>
      </c>
      <c r="I18" s="3">
        <v>30</v>
      </c>
      <c r="J18" s="4">
        <v>36.67</v>
      </c>
      <c r="K18">
        <f>I18*J18</f>
        <v>1100.1000000000001</v>
      </c>
      <c r="O18" s="12" t="s">
        <v>66</v>
      </c>
      <c r="P18" s="13">
        <v>1499.85</v>
      </c>
      <c r="S18" s="12" t="s">
        <v>87</v>
      </c>
      <c r="T18" s="13">
        <v>50</v>
      </c>
    </row>
    <row r="19" spans="1:32" x14ac:dyDescent="0.35">
      <c r="A19" s="7">
        <v>44651</v>
      </c>
      <c r="B19" s="3">
        <v>15</v>
      </c>
      <c r="C19" s="3" t="s">
        <v>63</v>
      </c>
      <c r="D19" s="3" t="s">
        <v>13</v>
      </c>
      <c r="E19" s="3" t="s">
        <v>14</v>
      </c>
      <c r="F19" s="3" t="s">
        <v>92</v>
      </c>
      <c r="G19" s="3" t="s">
        <v>105</v>
      </c>
      <c r="H19" s="3" t="s">
        <v>106</v>
      </c>
      <c r="I19" s="3">
        <v>35</v>
      </c>
      <c r="J19" s="4">
        <v>34.29</v>
      </c>
      <c r="K19">
        <f>I19*J19</f>
        <v>1200.1499999999999</v>
      </c>
      <c r="O19" s="12" t="s">
        <v>65</v>
      </c>
      <c r="P19" s="13">
        <v>1400</v>
      </c>
      <c r="S19" s="12" t="s">
        <v>96</v>
      </c>
      <c r="T19" s="13">
        <v>50</v>
      </c>
    </row>
    <row r="20" spans="1:32" x14ac:dyDescent="0.35">
      <c r="A20" s="7">
        <v>44681</v>
      </c>
      <c r="B20" s="3">
        <v>16</v>
      </c>
      <c r="C20" s="3" t="s">
        <v>64</v>
      </c>
      <c r="D20" s="3" t="s">
        <v>75</v>
      </c>
      <c r="E20" s="3" t="s">
        <v>16</v>
      </c>
      <c r="F20" s="3" t="s">
        <v>93</v>
      </c>
      <c r="G20" s="3" t="s">
        <v>107</v>
      </c>
      <c r="H20" s="3" t="s">
        <v>108</v>
      </c>
      <c r="I20" s="3">
        <v>0</v>
      </c>
      <c r="J20" s="3">
        <v>0</v>
      </c>
      <c r="K20">
        <f>I20*J20</f>
        <v>0</v>
      </c>
      <c r="O20" s="12" t="s">
        <v>63</v>
      </c>
      <c r="P20" s="13">
        <v>1200.1499999999999</v>
      </c>
      <c r="S20" s="12" t="s">
        <v>81</v>
      </c>
      <c r="T20" s="13">
        <v>50</v>
      </c>
    </row>
    <row r="21" spans="1:32" x14ac:dyDescent="0.35">
      <c r="A21" s="7">
        <v>44712</v>
      </c>
      <c r="B21" s="3">
        <v>17</v>
      </c>
      <c r="C21" s="3" t="s">
        <v>65</v>
      </c>
      <c r="D21" s="3" t="s">
        <v>11</v>
      </c>
      <c r="E21" s="3" t="s">
        <v>10</v>
      </c>
      <c r="F21" s="3" t="s">
        <v>94</v>
      </c>
      <c r="G21" s="3" t="s">
        <v>109</v>
      </c>
      <c r="H21" s="3" t="s">
        <v>110</v>
      </c>
      <c r="I21" s="3">
        <v>40</v>
      </c>
      <c r="J21" s="4">
        <v>35</v>
      </c>
      <c r="K21">
        <f>I21*J21</f>
        <v>1400</v>
      </c>
      <c r="O21" s="12" t="s">
        <v>62</v>
      </c>
      <c r="P21" s="13">
        <v>1100.1000000000001</v>
      </c>
      <c r="S21" s="12" t="s">
        <v>95</v>
      </c>
      <c r="T21" s="13">
        <v>45</v>
      </c>
    </row>
    <row r="22" spans="1:32" x14ac:dyDescent="0.35">
      <c r="A22" s="7">
        <v>44742</v>
      </c>
      <c r="B22" s="3">
        <v>18</v>
      </c>
      <c r="C22" s="3" t="s">
        <v>66</v>
      </c>
      <c r="D22" s="3" t="s">
        <v>9</v>
      </c>
      <c r="E22" s="3" t="s">
        <v>12</v>
      </c>
      <c r="F22" s="3" t="s">
        <v>95</v>
      </c>
      <c r="G22" s="3" t="s">
        <v>111</v>
      </c>
      <c r="H22" s="3" t="s">
        <v>112</v>
      </c>
      <c r="I22" s="3">
        <v>45</v>
      </c>
      <c r="J22" s="4">
        <v>33.33</v>
      </c>
      <c r="K22">
        <f>I22*J22</f>
        <v>1499.85</v>
      </c>
      <c r="O22" s="12" t="s">
        <v>53</v>
      </c>
      <c r="P22" s="13">
        <v>1000.2</v>
      </c>
      <c r="S22" s="12" t="s">
        <v>86</v>
      </c>
      <c r="T22" s="13">
        <v>45</v>
      </c>
    </row>
    <row r="23" spans="1:32" x14ac:dyDescent="0.35">
      <c r="A23" s="7">
        <v>44773</v>
      </c>
      <c r="B23" s="3">
        <v>19</v>
      </c>
      <c r="C23" s="3" t="s">
        <v>67</v>
      </c>
      <c r="D23" s="3" t="s">
        <v>13</v>
      </c>
      <c r="E23" s="3" t="s">
        <v>14</v>
      </c>
      <c r="F23" s="3" t="s">
        <v>96</v>
      </c>
      <c r="G23" s="3" t="s">
        <v>113</v>
      </c>
      <c r="H23" s="3" t="s">
        <v>114</v>
      </c>
      <c r="I23" s="3">
        <v>50</v>
      </c>
      <c r="J23" s="4">
        <v>32</v>
      </c>
      <c r="K23">
        <f>I23*J23</f>
        <v>1600</v>
      </c>
      <c r="O23" s="12" t="s">
        <v>59</v>
      </c>
      <c r="P23" s="13">
        <v>800</v>
      </c>
      <c r="S23" s="12" t="s">
        <v>94</v>
      </c>
      <c r="T23" s="13">
        <v>40</v>
      </c>
    </row>
    <row r="24" spans="1:32" x14ac:dyDescent="0.35">
      <c r="A24" s="7">
        <v>44804</v>
      </c>
      <c r="B24" s="3">
        <v>20</v>
      </c>
      <c r="C24" s="3" t="s">
        <v>68</v>
      </c>
      <c r="D24" s="3" t="s">
        <v>15</v>
      </c>
      <c r="E24" s="3" t="s">
        <v>16</v>
      </c>
      <c r="F24" s="3" t="s">
        <v>97</v>
      </c>
      <c r="G24" s="3" t="s">
        <v>115</v>
      </c>
      <c r="H24" s="3" t="s">
        <v>116</v>
      </c>
      <c r="I24" s="3">
        <v>55</v>
      </c>
      <c r="J24" s="4">
        <v>30.91</v>
      </c>
      <c r="K24">
        <f>I24*J24</f>
        <v>1700.05</v>
      </c>
      <c r="O24" s="12" t="s">
        <v>58</v>
      </c>
      <c r="P24" s="13">
        <v>700</v>
      </c>
      <c r="S24" s="12" t="s">
        <v>85</v>
      </c>
      <c r="T24" s="13">
        <v>40</v>
      </c>
    </row>
    <row r="25" spans="1:32" x14ac:dyDescent="0.35">
      <c r="A25" s="7">
        <v>44834</v>
      </c>
      <c r="B25" s="3">
        <v>21</v>
      </c>
      <c r="C25" s="3" t="s">
        <v>69</v>
      </c>
      <c r="D25" s="3" t="s">
        <v>11</v>
      </c>
      <c r="E25" s="3" t="s">
        <v>10</v>
      </c>
      <c r="F25" s="3" t="s">
        <v>98</v>
      </c>
      <c r="G25" s="3" t="s">
        <v>117</v>
      </c>
      <c r="H25" s="3" t="s">
        <v>118</v>
      </c>
      <c r="I25" s="3">
        <v>60</v>
      </c>
      <c r="J25" s="4">
        <v>30</v>
      </c>
      <c r="K25">
        <f>I25*J25</f>
        <v>1800</v>
      </c>
      <c r="O25" s="12" t="s">
        <v>56</v>
      </c>
      <c r="P25" s="13">
        <v>600</v>
      </c>
      <c r="S25" s="12" t="s">
        <v>84</v>
      </c>
      <c r="T25" s="13">
        <v>35</v>
      </c>
    </row>
    <row r="26" spans="1:32" x14ac:dyDescent="0.35">
      <c r="A26" s="7">
        <v>44865</v>
      </c>
      <c r="B26" s="3">
        <v>22</v>
      </c>
      <c r="C26" s="3" t="s">
        <v>70</v>
      </c>
      <c r="D26" s="3" t="s">
        <v>9</v>
      </c>
      <c r="E26" s="3" t="s">
        <v>12</v>
      </c>
      <c r="F26" s="3" t="s">
        <v>99</v>
      </c>
      <c r="G26" s="3" t="s">
        <v>119</v>
      </c>
      <c r="H26" s="3" t="s">
        <v>120</v>
      </c>
      <c r="I26" s="3">
        <v>0</v>
      </c>
      <c r="J26" s="3">
        <v>0</v>
      </c>
      <c r="K26">
        <f>I26*J26</f>
        <v>0</v>
      </c>
      <c r="O26" s="12" t="s">
        <v>57</v>
      </c>
      <c r="P26" s="13">
        <v>549.9</v>
      </c>
      <c r="S26" s="12" t="s">
        <v>92</v>
      </c>
      <c r="T26" s="13">
        <v>35</v>
      </c>
    </row>
    <row r="27" spans="1:32" x14ac:dyDescent="0.35">
      <c r="A27" s="7">
        <v>44895</v>
      </c>
      <c r="B27" s="3">
        <v>23</v>
      </c>
      <c r="C27" s="3" t="s">
        <v>71</v>
      </c>
      <c r="D27" s="3" t="s">
        <v>13</v>
      </c>
      <c r="E27" s="3" t="s">
        <v>14</v>
      </c>
      <c r="F27" s="3" t="s">
        <v>76</v>
      </c>
      <c r="G27" s="3" t="s">
        <v>121</v>
      </c>
      <c r="H27" s="3" t="s">
        <v>122</v>
      </c>
      <c r="I27" s="3">
        <v>65</v>
      </c>
      <c r="J27" s="4">
        <v>30.77</v>
      </c>
      <c r="K27">
        <f>I27*J27</f>
        <v>2000.05</v>
      </c>
      <c r="O27" s="12" t="s">
        <v>52</v>
      </c>
      <c r="P27" s="13">
        <v>500</v>
      </c>
      <c r="S27" s="12" t="s">
        <v>91</v>
      </c>
      <c r="T27" s="13">
        <v>30</v>
      </c>
    </row>
    <row r="28" spans="1:32" x14ac:dyDescent="0.35">
      <c r="A28" s="7">
        <v>44926</v>
      </c>
      <c r="B28" s="3">
        <v>24</v>
      </c>
      <c r="C28" s="3" t="s">
        <v>72</v>
      </c>
      <c r="D28" s="3" t="s">
        <v>15</v>
      </c>
      <c r="E28" s="3" t="s">
        <v>16</v>
      </c>
      <c r="F28" s="3" t="s">
        <v>100</v>
      </c>
      <c r="G28" s="3" t="s">
        <v>123</v>
      </c>
      <c r="H28" s="3" t="s">
        <v>124</v>
      </c>
      <c r="I28" s="3">
        <v>70</v>
      </c>
      <c r="J28" s="4">
        <v>30</v>
      </c>
      <c r="K28">
        <f>I28*J28</f>
        <v>2100</v>
      </c>
      <c r="O28" s="12" t="s">
        <v>55</v>
      </c>
      <c r="P28" s="13">
        <v>350</v>
      </c>
      <c r="S28" s="12" t="s">
        <v>89</v>
      </c>
      <c r="T28" s="13">
        <v>20</v>
      </c>
    </row>
    <row r="29" spans="1:32" x14ac:dyDescent="0.35">
      <c r="A29" s="7">
        <v>44957</v>
      </c>
      <c r="B29" s="3">
        <v>25</v>
      </c>
      <c r="C29" s="3" t="s">
        <v>73</v>
      </c>
      <c r="D29" s="3" t="s">
        <v>17</v>
      </c>
      <c r="E29" s="3" t="s">
        <v>18</v>
      </c>
      <c r="F29" s="3" t="s">
        <v>101</v>
      </c>
      <c r="G29" s="3" t="s">
        <v>125</v>
      </c>
      <c r="H29" s="3" t="s">
        <v>126</v>
      </c>
      <c r="I29" s="3">
        <v>75</v>
      </c>
      <c r="J29" s="4">
        <v>29.33</v>
      </c>
      <c r="K29">
        <f>I29*J29</f>
        <v>2199.75</v>
      </c>
      <c r="O29" s="12" t="s">
        <v>49</v>
      </c>
      <c r="P29" s="13">
        <v>200</v>
      </c>
      <c r="S29" s="12" t="s">
        <v>79</v>
      </c>
      <c r="T29" s="13">
        <v>15</v>
      </c>
    </row>
    <row r="30" spans="1:32" x14ac:dyDescent="0.35">
      <c r="A30" s="7">
        <v>44985</v>
      </c>
      <c r="B30" s="3">
        <v>26</v>
      </c>
      <c r="C30" s="3" t="s">
        <v>74</v>
      </c>
      <c r="D30" s="3" t="s">
        <v>17</v>
      </c>
      <c r="E30" s="3" t="s">
        <v>19</v>
      </c>
      <c r="F30" s="3" t="s">
        <v>77</v>
      </c>
      <c r="G30" s="3" t="s">
        <v>127</v>
      </c>
      <c r="H30" s="3" t="s">
        <v>128</v>
      </c>
      <c r="I30" s="3">
        <v>80</v>
      </c>
      <c r="J30" s="4">
        <v>28.75</v>
      </c>
      <c r="K30">
        <f>I30*J30</f>
        <v>2300</v>
      </c>
      <c r="O30" s="12" t="s">
        <v>50</v>
      </c>
      <c r="P30" s="13">
        <v>150</v>
      </c>
      <c r="S30" s="12" t="s">
        <v>78</v>
      </c>
      <c r="T30" s="13">
        <v>10</v>
      </c>
    </row>
    <row r="31" spans="1:32" x14ac:dyDescent="0.35">
      <c r="A31" s="7">
        <v>45016</v>
      </c>
      <c r="B31" s="3">
        <v>27</v>
      </c>
      <c r="C31" s="3" t="s">
        <v>61</v>
      </c>
      <c r="D31" s="3" t="s">
        <v>11</v>
      </c>
      <c r="E31" s="3" t="s">
        <v>20</v>
      </c>
      <c r="F31" s="3" t="s">
        <v>102</v>
      </c>
      <c r="G31" s="3" t="s">
        <v>129</v>
      </c>
      <c r="H31" s="3" t="s">
        <v>130</v>
      </c>
      <c r="I31" s="3">
        <v>0</v>
      </c>
      <c r="J31" s="3">
        <v>0</v>
      </c>
      <c r="K31">
        <f>I31*J31</f>
        <v>0</v>
      </c>
      <c r="O31" s="12" t="s">
        <v>54</v>
      </c>
      <c r="P31" s="13">
        <v>0</v>
      </c>
      <c r="S31" s="12" t="s">
        <v>88</v>
      </c>
      <c r="T31" s="13">
        <v>5</v>
      </c>
    </row>
    <row r="32" spans="1:32" ht="13" customHeight="1" x14ac:dyDescent="0.35">
      <c r="A32" s="7">
        <v>45046</v>
      </c>
      <c r="B32" s="3">
        <v>28</v>
      </c>
      <c r="C32" s="3" t="s">
        <v>60</v>
      </c>
      <c r="D32" s="3" t="s">
        <v>15</v>
      </c>
      <c r="E32" s="3" t="s">
        <v>21</v>
      </c>
      <c r="F32" s="3" t="s">
        <v>103</v>
      </c>
      <c r="G32" s="3" t="s">
        <v>131</v>
      </c>
      <c r="H32" s="3" t="s">
        <v>132</v>
      </c>
      <c r="I32" s="3">
        <v>85</v>
      </c>
      <c r="J32" s="4">
        <v>29.41</v>
      </c>
      <c r="K32">
        <f>I32*J32</f>
        <v>2499.85</v>
      </c>
      <c r="O32" s="12" t="s">
        <v>64</v>
      </c>
      <c r="P32" s="13">
        <v>0</v>
      </c>
      <c r="S32" s="12" t="s">
        <v>90</v>
      </c>
      <c r="T32" s="13">
        <v>0</v>
      </c>
    </row>
    <row r="33" spans="15:20" x14ac:dyDescent="0.35">
      <c r="O33" s="12" t="s">
        <v>61</v>
      </c>
      <c r="P33" s="13">
        <v>0</v>
      </c>
      <c r="S33" s="12" t="s">
        <v>99</v>
      </c>
      <c r="T33" s="13">
        <v>0</v>
      </c>
    </row>
    <row r="34" spans="15:20" x14ac:dyDescent="0.35">
      <c r="O34" s="12" t="s">
        <v>70</v>
      </c>
      <c r="P34" s="13">
        <v>0</v>
      </c>
      <c r="S34" s="12" t="s">
        <v>93</v>
      </c>
      <c r="T34" s="13">
        <v>0</v>
      </c>
    </row>
    <row r="35" spans="15:20" x14ac:dyDescent="0.35">
      <c r="O35" s="12" t="s">
        <v>51</v>
      </c>
      <c r="P35" s="13">
        <v>0</v>
      </c>
      <c r="S35" s="12" t="s">
        <v>83</v>
      </c>
      <c r="T35" s="13">
        <v>0</v>
      </c>
    </row>
    <row r="36" spans="15:20" x14ac:dyDescent="0.35">
      <c r="O36" s="12" t="s">
        <v>136</v>
      </c>
      <c r="P36" s="13">
        <v>27149.899999999998</v>
      </c>
      <c r="S36" s="12" t="s">
        <v>80</v>
      </c>
      <c r="T36" s="13">
        <v>0</v>
      </c>
    </row>
    <row r="37" spans="15:20" x14ac:dyDescent="0.35">
      <c r="S37" s="12" t="s">
        <v>102</v>
      </c>
      <c r="T37" s="13">
        <v>0</v>
      </c>
    </row>
    <row r="38" spans="15:20" x14ac:dyDescent="0.35">
      <c r="S38" s="12" t="s">
        <v>136</v>
      </c>
      <c r="T38" s="13">
        <v>1020</v>
      </c>
    </row>
    <row r="42" spans="15:20" ht="17" x14ac:dyDescent="0.4">
      <c r="O42" s="16" t="s">
        <v>144</v>
      </c>
      <c r="S42" s="16" t="s">
        <v>145</v>
      </c>
    </row>
    <row r="44" spans="15:20" x14ac:dyDescent="0.35">
      <c r="O44" s="11" t="s">
        <v>135</v>
      </c>
      <c r="P44" t="s">
        <v>137</v>
      </c>
      <c r="S44" s="11" t="s">
        <v>135</v>
      </c>
      <c r="T44" t="s">
        <v>137</v>
      </c>
    </row>
    <row r="45" spans="15:20" x14ac:dyDescent="0.35">
      <c r="O45" s="12" t="s">
        <v>15</v>
      </c>
      <c r="P45" s="13">
        <v>8299.9</v>
      </c>
      <c r="S45" s="12" t="s">
        <v>141</v>
      </c>
      <c r="T45" s="13">
        <v>5750.1</v>
      </c>
    </row>
    <row r="46" spans="15:20" x14ac:dyDescent="0.35">
      <c r="O46" s="12" t="s">
        <v>13</v>
      </c>
      <c r="P46" s="13">
        <v>5950.2</v>
      </c>
      <c r="S46" s="12" t="s">
        <v>142</v>
      </c>
      <c r="T46" s="13">
        <v>14400.199999999999</v>
      </c>
    </row>
    <row r="47" spans="15:20" x14ac:dyDescent="0.35">
      <c r="O47" s="12" t="s">
        <v>11</v>
      </c>
      <c r="P47" s="13">
        <v>4900.1000000000004</v>
      </c>
      <c r="S47" s="12" t="s">
        <v>143</v>
      </c>
      <c r="T47" s="13">
        <v>6999.6</v>
      </c>
    </row>
    <row r="48" spans="15:20" x14ac:dyDescent="0.35">
      <c r="O48" s="12" t="s">
        <v>17</v>
      </c>
      <c r="P48" s="13">
        <v>4499.75</v>
      </c>
      <c r="S48" s="12" t="s">
        <v>136</v>
      </c>
      <c r="T48" s="13">
        <v>27149.9</v>
      </c>
    </row>
    <row r="49" spans="14:27" x14ac:dyDescent="0.35">
      <c r="O49" s="12" t="s">
        <v>9</v>
      </c>
      <c r="P49" s="13">
        <v>2399.85</v>
      </c>
    </row>
    <row r="50" spans="14:27" x14ac:dyDescent="0.35">
      <c r="O50" s="12" t="s">
        <v>75</v>
      </c>
      <c r="P50" s="13">
        <v>1100.1000000000001</v>
      </c>
    </row>
    <row r="51" spans="14:27" x14ac:dyDescent="0.35">
      <c r="O51" s="12" t="s">
        <v>136</v>
      </c>
      <c r="P51" s="13">
        <v>27149.899999999998</v>
      </c>
    </row>
    <row r="54" spans="14:27" ht="23.5" x14ac:dyDescent="0.55000000000000004">
      <c r="W54" s="17" t="s">
        <v>149</v>
      </c>
    </row>
    <row r="55" spans="14:27" ht="21" x14ac:dyDescent="0.5">
      <c r="N55" s="18" t="s">
        <v>151</v>
      </c>
    </row>
    <row r="56" spans="14:27" ht="17" x14ac:dyDescent="0.4">
      <c r="N56" s="16" t="s">
        <v>147</v>
      </c>
      <c r="U56" t="s">
        <v>152</v>
      </c>
      <c r="V56" s="16"/>
      <c r="AA56" s="16" t="s">
        <v>145</v>
      </c>
    </row>
    <row r="75" spans="14:21" ht="17" x14ac:dyDescent="0.4">
      <c r="N75" s="16" t="s">
        <v>148</v>
      </c>
      <c r="U75" s="16" t="s">
        <v>144</v>
      </c>
    </row>
  </sheetData>
  <dataConsolidate/>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K Adithi Sri Gowri</dc:creator>
  <cp:lastModifiedBy>Uma Nandhini Murugan</cp:lastModifiedBy>
  <dcterms:created xsi:type="dcterms:W3CDTF">2015-06-05T18:17:20Z</dcterms:created>
  <dcterms:modified xsi:type="dcterms:W3CDTF">2026-09-24T12:52:42Z</dcterms:modified>
</cp:coreProperties>
</file>